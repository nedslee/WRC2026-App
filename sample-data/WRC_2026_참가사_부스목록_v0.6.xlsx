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업무 관련 - 전략실\00E-1. CGO\260819 중국출장 준비\기업 목록\"/>
    </mc:Choice>
  </mc:AlternateContent>
  <bookViews>
    <workbookView xWindow="0" yWindow="0" windowWidth="28800" windowHeight="12870"/>
  </bookViews>
  <sheets>
    <sheet name="전체목록" sheetId="2" r:id="rId1"/>
  </sheets>
  <calcPr calcId="162913" iterateDelta="1E-4"/>
</workbook>
</file>

<file path=xl/calcChain.xml><?xml version="1.0" encoding="utf-8"?>
<calcChain xmlns="http://schemas.openxmlformats.org/spreadsheetml/2006/main">
  <c r="M6" i="2" l="1"/>
  <c r="M266" i="2" l="1"/>
  <c r="M265" i="2"/>
  <c r="M264" i="2"/>
  <c r="M263" i="2"/>
  <c r="M262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54" i="2"/>
  <c r="M212" i="2"/>
  <c r="M53" i="2"/>
  <c r="M211" i="2"/>
  <c r="M210" i="2"/>
  <c r="M209" i="2"/>
  <c r="M208" i="2"/>
  <c r="M207" i="2"/>
  <c r="M50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20" i="2"/>
  <c r="M190" i="2"/>
  <c r="M189" i="2"/>
  <c r="M188" i="2"/>
  <c r="M187" i="2"/>
  <c r="M186" i="2"/>
  <c r="M185" i="2"/>
  <c r="M184" i="2"/>
  <c r="M183" i="2"/>
  <c r="M48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0" i="2"/>
  <c r="M129" i="2"/>
  <c r="M128" i="2"/>
  <c r="M127" i="2"/>
  <c r="M126" i="2"/>
  <c r="M125" i="2"/>
  <c r="M124" i="2"/>
  <c r="M123" i="2"/>
  <c r="M122" i="2"/>
  <c r="M121" i="2"/>
  <c r="M120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27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119" i="2"/>
  <c r="M104" i="2"/>
  <c r="M35" i="2"/>
  <c r="M11" i="2"/>
  <c r="M55" i="2"/>
  <c r="M52" i="2"/>
  <c r="M49" i="2"/>
  <c r="M47" i="2"/>
  <c r="M40" i="2"/>
  <c r="M39" i="2"/>
  <c r="M25" i="2"/>
  <c r="M24" i="2"/>
  <c r="M51" i="2"/>
  <c r="M17" i="2"/>
  <c r="M16" i="2"/>
  <c r="M36" i="2"/>
  <c r="M23" i="2"/>
  <c r="M21" i="2"/>
  <c r="M46" i="2"/>
  <c r="M45" i="2"/>
  <c r="M44" i="2"/>
  <c r="M43" i="2"/>
  <c r="M42" i="2"/>
  <c r="M38" i="2"/>
  <c r="M37" i="2"/>
  <c r="M34" i="2"/>
  <c r="M32" i="2"/>
  <c r="M29" i="2"/>
  <c r="M19" i="2"/>
  <c r="M41" i="2"/>
  <c r="M14" i="2"/>
  <c r="M10" i="2"/>
  <c r="M18" i="2"/>
  <c r="M12" i="2"/>
  <c r="M33" i="2"/>
  <c r="M30" i="2"/>
  <c r="M28" i="2"/>
  <c r="M5" i="2"/>
  <c r="M31" i="2"/>
  <c r="M7" i="2"/>
  <c r="M3" i="2"/>
  <c r="M15" i="2"/>
  <c r="M9" i="2"/>
  <c r="M22" i="2"/>
  <c r="M13" i="2"/>
  <c r="M8" i="2"/>
  <c r="M4" i="2"/>
  <c r="M26" i="2"/>
  <c r="N1" i="2"/>
</calcChain>
</file>

<file path=xl/sharedStrings.xml><?xml version="1.0" encoding="utf-8"?>
<sst xmlns="http://schemas.openxmlformats.org/spreadsheetml/2006/main" count="2531" uniqueCount="1788">
  <si>
    <t>WRC 2026 참가사 부스 목록</t>
  </si>
  <si>
    <t>UID</t>
  </si>
  <si>
    <t>홀</t>
  </si>
  <si>
    <t>부스</t>
  </si>
  <si>
    <t>중요도</t>
  </si>
  <si>
    <t>방문예정일</t>
  </si>
  <si>
    <t>기업명(영어)</t>
  </si>
  <si>
    <t>기업명(중국어)</t>
  </si>
  <si>
    <t>기업명(한국어)</t>
  </si>
  <si>
    <t>국적</t>
  </si>
  <si>
    <t>주요 분야</t>
  </si>
  <si>
    <t>간단 설명</t>
  </si>
  <si>
    <t>비고</t>
  </si>
  <si>
    <t>링크</t>
  </si>
  <si>
    <t>방문 메모</t>
  </si>
  <si>
    <t>W018</t>
  </si>
  <si>
    <t>A</t>
  </si>
  <si>
    <t>A205</t>
  </si>
  <si>
    <t>KEPLER ROBOTICS</t>
  </si>
  <si>
    <t>开普勒机器人</t>
  </si>
  <si>
    <t>카이푸러지치런
(Kai Pu Le Ji Qi Ren)</t>
  </si>
  <si>
    <t>중국</t>
  </si>
  <si>
    <t>휴머노이드·사족보행 로봇</t>
  </si>
  <si>
    <t>범용 휴머노이드와 중하중 사족보행 로봇, 관절·손 등 핵심부품 개발</t>
  </si>
  <si>
    <t>W036</t>
  </si>
  <si>
    <t>A305</t>
  </si>
  <si>
    <t>XCC-ZXZ</t>
  </si>
  <si>
    <t>五洲新春集团</t>
  </si>
  <si>
    <t>우조우신춴지퇀
(Wu Zhou Xin Chun Ji Tuan)</t>
  </si>
  <si>
    <t>로봇용 베어링·롤러스크류</t>
  </si>
  <si>
    <t>PRS 롤러스크류 개발</t>
  </si>
  <si>
    <t>W038</t>
  </si>
  <si>
    <t>A308</t>
  </si>
  <si>
    <t>Seenpin</t>
  </si>
  <si>
    <t>新剑</t>
  </si>
  <si>
    <t>신젠
(Xinjian)</t>
  </si>
  <si>
    <t>리니어 액추에이터·정밀 직선구동</t>
  </si>
  <si>
    <t>휴머노이드·자동화용 리니어 액추에이터, 정밀 직선운동 및 구동 모듈</t>
  </si>
  <si>
    <t>W043</t>
  </si>
  <si>
    <t>A318</t>
  </si>
  <si>
    <t>KOFON</t>
  </si>
  <si>
    <t>科峰智能</t>
  </si>
  <si>
    <t>커펑즈넝
(Ke Feng Zhi Neng)</t>
  </si>
  <si>
    <t>정밀감속기·관절구동</t>
  </si>
  <si>
    <t>정밀 감속기·서보 구동 등 로봇 모션 핵심부품 개발·공급</t>
  </si>
  <si>
    <t>W082</t>
  </si>
  <si>
    <t>A518</t>
  </si>
  <si>
    <t>XZB Transmission</t>
  </si>
  <si>
    <t>玖月捌</t>
  </si>
  <si>
    <t>지우웨바 촨둥
(Jiuyueba Chuandong)</t>
  </si>
  <si>
    <t>롤러스크류</t>
  </si>
  <si>
    <t>정밀 구동부품 업체</t>
  </si>
  <si>
    <t>W254</t>
  </si>
  <si>
    <t>D2</t>
  </si>
  <si>
    <t>D411</t>
  </si>
  <si>
    <t>Runtai Robot</t>
  </si>
  <si>
    <t>润泰机器人</t>
  </si>
  <si>
    <t>뤈타이 지치런
(Run Tai Ji Qi Ren)</t>
  </si>
  <si>
    <t>PRS 롤러스크류 대량 양산</t>
  </si>
  <si>
    <t>W258</t>
  </si>
  <si>
    <t>D503</t>
  </si>
  <si>
    <t>Guohua Intelligent</t>
  </si>
  <si>
    <t>国华智能</t>
  </si>
  <si>
    <t>궈화 즈넝
(Guo Hua Zhi Neng)</t>
  </si>
  <si>
    <t>로봇 관절, 휴머노이드, 감속기, 액추에이터</t>
  </si>
  <si>
    <t>휴머노이드, 로봇 및 관련 부품 개발</t>
  </si>
  <si>
    <t>W046</t>
  </si>
  <si>
    <t>A323</t>
  </si>
  <si>
    <t>Ningbo Zhenyu Technology</t>
  </si>
  <si>
    <t>展裕科技</t>
  </si>
  <si>
    <t>닝보잔위 커지
(Ning Bo Zhen Yu Ke Ji)</t>
  </si>
  <si>
    <t>정밀전동·로봇 핵심부품</t>
  </si>
  <si>
    <t>로봇 관절·자동화 장비용 정밀 전동부품 및 모션 하드웨어</t>
  </si>
  <si>
    <t>W104</t>
  </si>
  <si>
    <t>B</t>
  </si>
  <si>
    <t>B207</t>
  </si>
  <si>
    <t>Xynova</t>
  </si>
  <si>
    <t>曦诺未来</t>
  </si>
  <si>
    <t>시눠웨이라이
(Xi Nuo Wei Lai)</t>
  </si>
  <si>
    <t>다지 로봇손·그리퍼/액추에이터</t>
  </si>
  <si>
    <t>고자유도 직구동 덱스터러스 핸드와 촉각·힘제어 기반 조작 기술 개발</t>
  </si>
  <si>
    <t>W108</t>
  </si>
  <si>
    <t>B211</t>
  </si>
  <si>
    <t>Schaeffler Humanoid</t>
  </si>
  <si>
    <t>-</t>
  </si>
  <si>
    <t>독일</t>
  </si>
  <si>
    <t>정밀 모션·베어링 부품</t>
  </si>
  <si>
    <t>베어링·정밀 구동·액추에이터 등 휴머노이드와 산업로봇용 모션부품 공급</t>
  </si>
  <si>
    <t>W035</t>
  </si>
  <si>
    <t>A303</t>
  </si>
  <si>
    <t>Leaderdrive</t>
  </si>
  <si>
    <t>绿的谐波</t>
  </si>
  <si>
    <t>루더시에보
(Lu De Xie Bo)</t>
  </si>
  <si>
    <t>정밀·하모닉 감속기</t>
  </si>
  <si>
    <t>로봇 관절용 정밀 하모닉 감속기와 구동부품 공급</t>
  </si>
  <si>
    <t>W042</t>
  </si>
  <si>
    <t>A316</t>
  </si>
  <si>
    <t>Laifual</t>
  </si>
  <si>
    <t>来福谐波</t>
  </si>
  <si>
    <t>라이푸시에보
(Lai Fu Xie Bo)</t>
  </si>
  <si>
    <t>하모닉 감속기와 정밀 로봇 관절용 감속 솔루션 제공</t>
  </si>
  <si>
    <t>W055</t>
  </si>
  <si>
    <t>A411</t>
  </si>
  <si>
    <t>WOLONG</t>
  </si>
  <si>
    <t>卧龙电驱</t>
  </si>
  <si>
    <t>워룽디엔취
(Wo Long Dian Qu)</t>
  </si>
  <si>
    <t>무프레임 토크모터·관절모듈</t>
  </si>
  <si>
    <t>전동 관절모듈, 무프레임 토크모터·모터드라이버·공심컵모터 등 휴머노이드 구동계</t>
  </si>
  <si>
    <t>W037</t>
  </si>
  <si>
    <t>A306</t>
  </si>
  <si>
    <t>TC Drive</t>
  </si>
  <si>
    <t>同川精密</t>
  </si>
  <si>
    <t>퉁촨징미
(Tong Chuan Jing Mi)</t>
  </si>
  <si>
    <t>하모닉 감속기·로봇 관절모듈</t>
  </si>
  <si>
    <t>자체 하모닉 감속기, 회전 액추에이터 및 협동·휴머노이드용 일체형 관절모듈</t>
  </si>
  <si>
    <t>W040</t>
  </si>
  <si>
    <t>A310</t>
  </si>
  <si>
    <t>MOONS'</t>
  </si>
  <si>
    <t>鸣志</t>
  </si>
  <si>
    <t>밍즈
(Ming Zhi)</t>
  </si>
  <si>
    <t>모터·드라이버·모션제어</t>
  </si>
  <si>
    <t>스테퍼·서보 모터, 드라이브와 모션제어 부품 공급</t>
  </si>
  <si>
    <t>W047</t>
  </si>
  <si>
    <t>A325</t>
  </si>
  <si>
    <t>Kinco</t>
  </si>
  <si>
    <t>步科股份</t>
  </si>
  <si>
    <t>부커구펀
(Bu Ke Gu Fen)</t>
  </si>
  <si>
    <t>무프레임 모터·모션제어·관절</t>
  </si>
  <si>
    <t>휴머노이드 관절·휠형 섀시용 무프레임 토크모터, 서보·HMI·모션제어 기술</t>
  </si>
  <si>
    <t>W057</t>
  </si>
  <si>
    <t>A415</t>
  </si>
  <si>
    <t>Kpower Technology</t>
  </si>
  <si>
    <t>伟创动力</t>
  </si>
  <si>
    <t>웨이창 둥리
(Weichuang Dongli)</t>
  </si>
  <si>
    <t>서보모터·모션유닛·관절구동</t>
  </si>
  <si>
    <t>고밀도 서보모터·드라이브와 로봇 관절용 모션유닛·일체형 구동부품</t>
  </si>
  <si>
    <t>W068</t>
  </si>
  <si>
    <t>A435</t>
  </si>
  <si>
    <t>Robstride Dynamics</t>
  </si>
  <si>
    <t>灵足时代</t>
  </si>
  <si>
    <t>링주스다이
(Ling Zu Shi Dai)</t>
  </si>
  <si>
    <t>로봇 액추에이터·모터모듈</t>
  </si>
  <si>
    <t>고토크 모터·감속·엔코더·드라이브 통합형 로봇 관절 액추에이터</t>
  </si>
  <si>
    <t>W141</t>
  </si>
  <si>
    <t>B328</t>
  </si>
  <si>
    <t>Joy-Motion</t>
  </si>
  <si>
    <t>卓誉科技</t>
  </si>
  <si>
    <t>줘위커지
(Zhuo Yu Ke Ji)</t>
  </si>
  <si>
    <t>로봇 관절·모터 구동부품</t>
  </si>
  <si>
    <t>모터·액추에이터 등 로봇 관절과 모션 구동부품 개발</t>
  </si>
  <si>
    <t>W052</t>
  </si>
  <si>
    <t>A408</t>
  </si>
  <si>
    <t>Eyou Technology</t>
  </si>
  <si>
    <t>意优科技</t>
  </si>
  <si>
    <t>이요우 커지
(Yìyou keji)</t>
  </si>
  <si>
    <t>하모닉 감속기·일체형 관절</t>
  </si>
  <si>
    <t>정밀 하모닉 감속기와 모터·드라이버·센서를 통합한 로봇 관절모듈</t>
  </si>
  <si>
    <t>W092</t>
  </si>
  <si>
    <t>B110</t>
  </si>
  <si>
    <t>Harmonic Drive</t>
  </si>
  <si>
    <t>일본</t>
  </si>
  <si>
    <t>로봇 관절용 하모닉 드라이브 정밀 감속기와 모션부품 공급</t>
  </si>
  <si>
    <t>일본 기업의 중국 자회사</t>
  </si>
  <si>
    <t>W115</t>
  </si>
  <si>
    <t>B223</t>
  </si>
  <si>
    <t>Faulhaber</t>
  </si>
  <si>
    <t>정밀 DC모터·기어헤드·엔코더</t>
  </si>
  <si>
    <t>소형 고출력 DC·BLDC 모터와 정밀 기어헤드·엔코더 기반 로봇 구동시스템</t>
  </si>
  <si>
    <t>W144</t>
  </si>
  <si>
    <t>B402</t>
  </si>
  <si>
    <t>maxon</t>
  </si>
  <si>
    <t>스위스</t>
  </si>
  <si>
    <t>정밀모터·모션구동</t>
  </si>
  <si>
    <t>정밀 DC/BLDC 모터, 기어, 엔코더와 로봇 구동 시스템 공급</t>
  </si>
  <si>
    <t>W045</t>
  </si>
  <si>
    <t>A321</t>
  </si>
  <si>
    <t>Tsino Dynatron</t>
  </si>
  <si>
    <t>清能德创</t>
  </si>
  <si>
    <t>칭넝더촨
(Qing Neng De Chuang)</t>
  </si>
  <si>
    <t>서보드라이브·분산 모션제어</t>
  </si>
  <si>
    <t>로봇·자동화용 고성능 서보드라이브, 네트워크형 모션제어 및 다축 제어기술</t>
  </si>
  <si>
    <t>W056</t>
  </si>
  <si>
    <t>A413</t>
  </si>
  <si>
    <t>Leadshine</t>
  </si>
  <si>
    <t>雷赛智能</t>
  </si>
  <si>
    <t>레이사이 즈넝
(Leisai Zhineng)</t>
  </si>
  <si>
    <t>스테퍼·서보모터·회전액추에이터</t>
  </si>
  <si>
    <t>스테퍼·서보 구동, 정밀 감속기와 일체형 회전 액추에이터 기반 로봇 모션부품</t>
  </si>
  <si>
    <t>W066</t>
  </si>
  <si>
    <t>A431</t>
  </si>
  <si>
    <t>KingKong Tech</t>
  </si>
  <si>
    <t>北京金钢科技</t>
  </si>
  <si>
    <t>베이징진강커지
(Beijing Jinggang Keji)</t>
  </si>
  <si>
    <t>엔코더·서보모터·관절제어</t>
  </si>
  <si>
    <t>정밀 위치 엔코더와 서보모터, 로봇 관절 위치·속도 제어용 모션부품</t>
  </si>
  <si>
    <t>W091</t>
  </si>
  <si>
    <t>B109</t>
  </si>
  <si>
    <t>YASKAWA SHOUGANG</t>
  </si>
  <si>
    <t>安川首钢</t>
  </si>
  <si>
    <t>안촨 소우강
(An Chuan Shou Gang)</t>
  </si>
  <si>
    <t>산업용 로봇암·자동화</t>
  </si>
  <si>
    <t>산업용 로봇과 용접·핸들링·조립 자동화 시스템 제공</t>
  </si>
  <si>
    <t>야스카와 중국 합작 기업
비전 검사 시스템 포함</t>
  </si>
  <si>
    <t>W098</t>
  </si>
  <si>
    <t>B118</t>
  </si>
  <si>
    <t>Infineon Technologies</t>
  </si>
  <si>
    <t>전력반도체·MCU·모터제어 IC</t>
  </si>
  <si>
    <t>로봇 구동·전원·센싱용 전력반도체, MCU·게이트드라이버 및 모터제어 반도체</t>
  </si>
  <si>
    <t>W118</t>
  </si>
  <si>
    <t>B228</t>
  </si>
  <si>
    <t>POSITAL</t>
  </si>
  <si>
    <t>로터리엔코더·경사·선형센서</t>
  </si>
  <si>
    <t>모션제어용 절대·증분 로터리엔코더, 경사계와 선형 위치센서</t>
  </si>
  <si>
    <t>W123</t>
  </si>
  <si>
    <t>B306</t>
  </si>
  <si>
    <t>Kunwei Technology</t>
  </si>
  <si>
    <t>坤维科技</t>
  </si>
  <si>
    <t>퀀웨이 커지
(Kun Wei Ke Ji)</t>
  </si>
  <si>
    <t>6축 힘·토크센서·힘제어</t>
  </si>
  <si>
    <t>휴머노이드·협동로봇용 고정밀 6축 힘/토크 센서와 로봇 힘제어 계측기술</t>
  </si>
  <si>
    <t>W125</t>
  </si>
  <si>
    <t>B308</t>
  </si>
  <si>
    <t>Link-touch</t>
  </si>
  <si>
    <t>蓝点触控</t>
  </si>
  <si>
    <t>6축 힘센서·관절 토크센서</t>
  </si>
  <si>
    <t>휴머노이드·협동로봇용 6축 힘센서, 관절 토크·인장압축 센서와 힘제어 기술</t>
  </si>
  <si>
    <t>W131</t>
  </si>
  <si>
    <t>B315</t>
  </si>
  <si>
    <t>Sunrise Instruments (SRI)</t>
  </si>
  <si>
    <t>휴머노이드·협동로봇용 6축 힘/토크 센서, 관절 토크센서와 정밀 힘제어 계측</t>
  </si>
  <si>
    <t>W139</t>
  </si>
  <si>
    <t>B325</t>
  </si>
  <si>
    <t>Reagle Sensing</t>
  </si>
  <si>
    <t>锐鹰传感</t>
  </si>
  <si>
    <t>엔코더·위치/각도 센서</t>
  </si>
  <si>
    <t>로봇 관절·모션제어용 정밀 엔코더와 위치·각도 검출 센서</t>
  </si>
  <si>
    <t>W251</t>
  </si>
  <si>
    <t>D408</t>
  </si>
  <si>
    <t>VEICHI</t>
  </si>
  <si>
    <t>伟创电气</t>
  </si>
  <si>
    <t>웨이촹 디엔치
(Wei Chuang Dian Qi)</t>
  </si>
  <si>
    <t>서보·인버터·모션제어</t>
  </si>
  <si>
    <t>인버터·서보·모션제어 및 산업 자동화 솔루션 제공</t>
  </si>
  <si>
    <t>W004</t>
  </si>
  <si>
    <t>A102</t>
  </si>
  <si>
    <t>FLEXIV</t>
  </si>
  <si>
    <t>非夕科技</t>
  </si>
  <si>
    <t>페이시커지
(Fei Xi Ke Ji)</t>
  </si>
  <si>
    <t>협동로봇·힘제어 자동화</t>
  </si>
  <si>
    <t>힘제어·적응제어 기반의 협동로봇과 유연 자동화 솔루션 제공</t>
  </si>
  <si>
    <t>W089</t>
  </si>
  <si>
    <t>B107</t>
  </si>
  <si>
    <t>HCBOT</t>
  </si>
  <si>
    <t>禾川人形</t>
  </si>
  <si>
    <t>허촨 런싱
(He Chuan Ren Xing)</t>
  </si>
  <si>
    <t>산업용 휴머노이드·체화지능 플랫폼</t>
  </si>
  <si>
    <t>산업 현장 작업용 휴머노이드 본체와 모션제어·체화지능 통합 플랫폼</t>
  </si>
  <si>
    <t>국내 TPC로보틱스와 협력 중</t>
  </si>
  <si>
    <t>W113</t>
  </si>
  <si>
    <t>B221</t>
  </si>
  <si>
    <t>ROBOTIS</t>
  </si>
  <si>
    <t>한국</t>
  </si>
  <si>
    <t>스마트 액추에이터·로봇플랫폼</t>
  </si>
  <si>
    <t>DYNAMIXEL 스마트 액추에이터와 교육·연구용 오픈 로봇 플랫폼 제공</t>
  </si>
  <si>
    <t>W114</t>
  </si>
  <si>
    <t>B222</t>
  </si>
  <si>
    <t>Korean Pavilion</t>
  </si>
  <si>
    <t>한국 전시관</t>
  </si>
  <si>
    <t>한국 로봇기업 공동관</t>
  </si>
  <si>
    <t>한국 로봇·부품·AI 기업의 기술·제품 및 한중 비즈니스 협력 공동전시</t>
  </si>
  <si>
    <t>한국 공동관
뉴로메카, 솔리드웨이, 세네스</t>
  </si>
  <si>
    <t>W197</t>
  </si>
  <si>
    <t>C</t>
  </si>
  <si>
    <t>C215</t>
  </si>
  <si>
    <t>Unitree Robotics</t>
  </si>
  <si>
    <t>宇树科技</t>
  </si>
  <si>
    <t>위수 커지
(Yu Shu Ke Ji)</t>
  </si>
  <si>
    <t>사족보행 및 휴머노이드 로봇과 고성능 관절·모션제어 기술 개발</t>
  </si>
  <si>
    <t>W009</t>
  </si>
  <si>
    <t>A108</t>
  </si>
  <si>
    <t>ROKAE</t>
  </si>
  <si>
    <t>珞石机器人</t>
  </si>
  <si>
    <t>뤄스지치런
(Luo Shi Ji Qi Ren)</t>
  </si>
  <si>
    <t>산업로봇·협동로봇</t>
  </si>
  <si>
    <t>산업용 로봇과 협동로봇, 지능형 제조 자동화 솔루션 제공</t>
  </si>
  <si>
    <t>W013</t>
  </si>
  <si>
    <t>A121</t>
  </si>
  <si>
    <t>RealMan Robotics</t>
  </si>
  <si>
    <t>睿尔曼智能</t>
  </si>
  <si>
    <t>뤠이얼만즈넝
(Rui Er Man Zhi Neng)</t>
  </si>
  <si>
    <t>경량 로봇팔·협동로봇</t>
  </si>
  <si>
    <t>경량 협동로봇 암과 이동형 조작 플랫폼, 휴머노이드용 로봇팔·관절 기술 전개</t>
  </si>
  <si>
    <t>W101</t>
  </si>
  <si>
    <t>B202</t>
  </si>
  <si>
    <t>EngineAI</t>
  </si>
  <si>
    <t>众擎机器人</t>
  </si>
  <si>
    <t>중칭 지치런
(Zhong Qing Ji Qi Ren)</t>
  </si>
  <si>
    <t>고동작성 휴머노이드·전신제어</t>
  </si>
  <si>
    <t>고동작성 이족 휴머노이드와 전신 모션제어·관절 구동·체화지능 하드웨어</t>
  </si>
  <si>
    <t>W105</t>
  </si>
  <si>
    <t>B208</t>
  </si>
  <si>
    <t>SIASUN</t>
  </si>
  <si>
    <t>新松机器人</t>
  </si>
  <si>
    <t>신숭 지치런
(Xin Song Ji Qi Ren)</t>
  </si>
  <si>
    <t>산업로봇·AMR/모바일로봇</t>
  </si>
  <si>
    <t>산업용 로봇, AMR/AGV, 자동화 생산라인 등 종합 로봇 솔루션 제공</t>
  </si>
  <si>
    <t>W169</t>
  </si>
  <si>
    <t>C103</t>
  </si>
  <si>
    <t>UBTECH ROBOTICS</t>
  </si>
  <si>
    <t>优必选科技</t>
  </si>
  <si>
    <t>요우비솬 커지
(You Bi Xuan Ke Ji)</t>
  </si>
  <si>
    <t>휴머노이드·서비스로봇</t>
  </si>
  <si>
    <t>휴머노이드와 교육·서비스·산업용 지능형 로봇 개발</t>
  </si>
  <si>
    <t>W181</t>
  </si>
  <si>
    <t>C119</t>
  </si>
  <si>
    <t>DOBOT</t>
  </si>
  <si>
    <t>越疆机器人</t>
  </si>
  <si>
    <t>웨쟝 지치런
(Yue Jiang Ji Qi Ren)</t>
  </si>
  <si>
    <t>협동로봇·휴머노이드</t>
  </si>
  <si>
    <t>협동로봇, 교육·산업 자동화와 휴머노이드 로봇 제품 전개</t>
  </si>
  <si>
    <t>W200</t>
  </si>
  <si>
    <t>C223</t>
  </si>
  <si>
    <t>Astribot</t>
  </si>
  <si>
    <t>星尘智能</t>
  </si>
  <si>
    <t>싱천 즈넝
(Xing Chen Zhi Neng)</t>
  </si>
  <si>
    <t>고속 양팔 휴머노이드·정밀조작</t>
  </si>
  <si>
    <t>고속·고정밀 양팔 조작 중심 휴머노이드와 체화지능 작업제어 기술</t>
  </si>
  <si>
    <t>W214</t>
  </si>
  <si>
    <t>C316</t>
  </si>
  <si>
    <t>LimX Dynamics</t>
  </si>
  <si>
    <t>逐际动力</t>
  </si>
  <si>
    <t>주지둥리
(Zhu Ji Dong Li)</t>
  </si>
  <si>
    <t>휴머노이드·사족·휠레그 로봇과 고동적 운동제어 기술 개발</t>
  </si>
  <si>
    <t>W064</t>
  </si>
  <si>
    <t>A429</t>
  </si>
  <si>
    <t>Crabnova Intelligent</t>
  </si>
  <si>
    <t>巨蟹智能</t>
  </si>
  <si>
    <t>주시에 쯔넝
(Juxie Zhineng)</t>
  </si>
  <si>
    <t>하모닉 관절·엔코더·액추에이터</t>
  </si>
  <si>
    <t>하모닉 감속 기반 관절모듈, 엔코더·모터 통합 액추에이터 및 휴머노이드 구동부</t>
  </si>
  <si>
    <t>W067</t>
  </si>
  <si>
    <t>A433</t>
  </si>
  <si>
    <t>Xiangming Intelligent</t>
  </si>
  <si>
    <t>祥明智能</t>
  </si>
  <si>
    <t>샹밍즈넝
(Xiang Ming Zhi Neng)</t>
  </si>
  <si>
    <t>BLDC·무프레임 모터·관절모듈</t>
  </si>
  <si>
    <t>AC·BLDC·DC 모터, 무프레임 토크모터 및 정밀 감속·일체형 로봇 관절</t>
  </si>
  <si>
    <t>W069</t>
  </si>
  <si>
    <t>A436</t>
  </si>
  <si>
    <t>CubeMars</t>
  </si>
  <si>
    <t>酷德智能</t>
  </si>
  <si>
    <t>쿠더즈넝
(Ku De Zhin Neng)</t>
  </si>
  <si>
    <t>로봇용 고토크 모터·감속구동</t>
  </si>
  <si>
    <t>사족·휴머노이드·드론용 BLDC 모터와 정밀 감속·일체형 액추에이터</t>
  </si>
  <si>
    <t>W087</t>
  </si>
  <si>
    <t>B103</t>
  </si>
  <si>
    <t>Booster Robotics</t>
  </si>
  <si>
    <t>加速进化</t>
  </si>
  <si>
    <t>쟈수진후아
(Jia Su Jin Hua)</t>
  </si>
  <si>
    <t>휴머노이드 연구·개발 플랫폼</t>
  </si>
  <si>
    <t>휴머노이드 로봇 및 체화지능 개발·연구용 플랫폼 제공</t>
  </si>
  <si>
    <t>W001</t>
  </si>
  <si>
    <t>Conference General Introduction</t>
  </si>
  <si>
    <t>大会总体介绍</t>
  </si>
  <si>
    <t>다훼이중티지에사오
(Da Hui Zong Ti Jie Shao)</t>
  </si>
  <si>
    <t>행사 종합안내·전시정보</t>
  </si>
  <si>
    <t>WRC 전시 구성·주요 프로그램·참관 동선 확인용 종합 안내 구역</t>
  </si>
  <si>
    <t>안내부스/소개구역</t>
  </si>
  <si>
    <t>W002</t>
  </si>
  <si>
    <t>JD.com</t>
  </si>
  <si>
    <t>京东</t>
  </si>
  <si>
    <t>징둥
(Jing Dong)</t>
  </si>
  <si>
    <t>물류자동화·배송/서비스로봇</t>
  </si>
  <si>
    <t>전자상거래·물류 자동화, 창고·배송 로봇 및 관련 AI 기술 활용</t>
  </si>
  <si>
    <t>부스번호 미표기</t>
  </si>
  <si>
    <t>W083</t>
  </si>
  <si>
    <t>징 둥 (Jing Dong)</t>
  </si>
  <si>
    <t>W084</t>
  </si>
  <si>
    <t>CCB</t>
  </si>
  <si>
    <t>建设银行</t>
  </si>
  <si>
    <t>지엔 서 인 싱 (Jian She Yin Xing)</t>
  </si>
  <si>
    <t>스마트금융·로봇 응용</t>
  </si>
  <si>
    <t>은행 영업점·금융서비스의 지능형 안내·디지털금융·로봇 서비스 적용 사례</t>
  </si>
  <si>
    <t>W167</t>
  </si>
  <si>
    <t>W003</t>
  </si>
  <si>
    <t>A101</t>
  </si>
  <si>
    <t>Haier Home Robot</t>
  </si>
  <si>
    <t>海尔机器人</t>
  </si>
  <si>
    <t>하이얼지치런
(Hai Er Ji Qi Ren)</t>
  </si>
  <si>
    <t>가사·청소·홈서비스 로봇</t>
  </si>
  <si>
    <t>가정용 서비스·가사·청소·조리 로봇과 AI 외골격 등 스마트홈 연계 로봇 전개</t>
  </si>
  <si>
    <t>W005</t>
  </si>
  <si>
    <t>A103</t>
  </si>
  <si>
    <t>FAIRINO</t>
  </si>
  <si>
    <t>法奥机器人</t>
  </si>
  <si>
    <t>파아오지치런
(Fa Ao Ji Qi Ren)</t>
  </si>
  <si>
    <t>협동로봇·산업용 로봇암</t>
  </si>
  <si>
    <t>산업용 협동로봇과 용접·조립·핸들링 자동화 솔루션 제공</t>
  </si>
  <si>
    <t>W006</t>
  </si>
  <si>
    <t>A105</t>
  </si>
  <si>
    <t>Beijing-Tianjin-Hebei Robot Industry Zone</t>
  </si>
  <si>
    <t>京津冀机器人产业融合协同发展展区</t>
  </si>
  <si>
    <t>베이징 텐진 허베이 로봇공업구역</t>
  </si>
  <si>
    <t>지역 로봇산업 공동관·생태계</t>
  </si>
  <si>
    <t>베이징·톈진·허베이 로봇기업·연구기관·공급망 연계 및 지역 산업생태계 공동전시</t>
  </si>
  <si>
    <t>공동전시구역</t>
  </si>
  <si>
    <t>W007</t>
  </si>
  <si>
    <t>A106</t>
  </si>
  <si>
    <t>Openmind</t>
  </si>
  <si>
    <t>启智</t>
  </si>
  <si>
    <t>치즈
(Qi Zhi)</t>
  </si>
  <si>
    <t>체화지능 OS·로봇 소프트웨어</t>
  </si>
  <si>
    <t>범용 로봇 운영체계·체화지능 소프트웨어 스택·산업용 피지컬 에이전트 기반 기술</t>
  </si>
  <si>
    <t>W008</t>
  </si>
  <si>
    <t>A107</t>
  </si>
  <si>
    <t>E-Town Robotics</t>
  </si>
  <si>
    <t>亦庄机器人</t>
  </si>
  <si>
    <t>이좡지치런
(Yi Zhuang Ji Qi Ren)</t>
  </si>
  <si>
    <t>로봇산업 플랫폼·생태계 운영</t>
  </si>
  <si>
    <t>베이징 이좡 기반 체화지능 산업 플랫폼, 기업 육성·공급망·실증·생태계 연계</t>
  </si>
  <si>
    <t>W010</t>
  </si>
  <si>
    <t>A110</t>
  </si>
  <si>
    <t>Zhongguancun BTH Intelligent Connected Vehicle Association</t>
  </si>
  <si>
    <t>中关村京津冀智能网联汽车协同发展促进会</t>
  </si>
  <si>
    <t>지능형 차량 협회</t>
  </si>
  <si>
    <t>스마트모빌리티·산업협회 공동관</t>
  </si>
  <si>
    <t>징진지 지능형 커넥티드카·자율주행·로봇 모빌리티 기업 협력 네트워크 소개</t>
  </si>
  <si>
    <t>협회/공동전시</t>
  </si>
  <si>
    <t>W011</t>
  </si>
  <si>
    <t>A113</t>
  </si>
  <si>
    <t>Direct Drive Tech</t>
  </si>
  <si>
    <t>本末科技</t>
  </si>
  <si>
    <t>번모커지
(Ben Mo Ke Ji)</t>
  </si>
  <si>
    <t>로봇 관절용 다이렉트드라이브 모터·구동 모듈 등 핵심 구동부품 개발</t>
  </si>
  <si>
    <t>W012</t>
  </si>
  <si>
    <t>A115</t>
  </si>
  <si>
    <t>Zhongjian Technology</t>
  </si>
  <si>
    <t>中坚科技</t>
  </si>
  <si>
    <t>중지엔커지
(Zhong Jian Ke Ji)</t>
  </si>
  <si>
    <t>잔디관리 로봇·휴머노이드·사족로봇</t>
  </si>
  <si>
    <t>지능형 잔디깎기 로봇, 사족·휠레그 플랫폼 및 다형태 휴머노이드 개발</t>
  </si>
  <si>
    <t>W014</t>
  </si>
  <si>
    <t>A122</t>
  </si>
  <si>
    <t>Spider Robot</t>
  </si>
  <si>
    <t>蜘蛛侠机器人</t>
  </si>
  <si>
    <t>즈주샤지치런 (Zhi Zhu Xia Ji Qi Ren)</t>
  </si>
  <si>
    <t>산업용 휴머노이드 로봇</t>
  </si>
  <si>
    <t>산업 작업용 휴머노이드 본체·운동제어·조작 기술 및 현장 자동화 응용</t>
  </si>
  <si>
    <t>W015</t>
  </si>
  <si>
    <t>A201</t>
  </si>
  <si>
    <t>CETC 21st Research Institute</t>
  </si>
  <si>
    <t>中国电子科技集团公司第二十一研究所</t>
  </si>
  <si>
    <t>중국전자과기그룹 제21연구소</t>
  </si>
  <si>
    <t>마이크로모터·전동관절·특수로봇</t>
  </si>
  <si>
    <t>마이크로·특수모터와 로봇 전동관절, 외골격·사족·산업용 휴머노이드 핵심기술</t>
  </si>
  <si>
    <t>W016</t>
  </si>
  <si>
    <t>A202</t>
  </si>
  <si>
    <t>Yunji Technology</t>
  </si>
  <si>
    <t>云迹科技</t>
  </si>
  <si>
    <t>윈지커지
(Yun Ji Ke Ji)</t>
  </si>
  <si>
    <t>안내·배송 서비스로봇</t>
  </si>
  <si>
    <t>호텔·병원·상업시설용 배송/서비스 로봇과 복합형 서비스 자동화 전개</t>
  </si>
  <si>
    <t>W017</t>
  </si>
  <si>
    <t>A203</t>
  </si>
  <si>
    <t>KEENON Robotics</t>
  </si>
  <si>
    <t>擎朗智能</t>
  </si>
  <si>
    <t>칭랑즈넝
(Qing Lang Zhi Neng)</t>
  </si>
  <si>
    <t>서비스로봇·휴머노이드</t>
  </si>
  <si>
    <t>배송·청소·안내 서비스로봇과 서비스 현장용 휴머노이드 로봇 제공</t>
  </si>
  <si>
    <t>W019</t>
  </si>
  <si>
    <t>A206</t>
  </si>
  <si>
    <t>RoboCT Technology</t>
  </si>
  <si>
    <t>程天科技</t>
  </si>
  <si>
    <t>청티엔커지
(Cheng Tian Ke Ji)</t>
  </si>
  <si>
    <t>재활·보행보조 외골격</t>
  </si>
  <si>
    <t>보행 보조·재활·산업용 외골격 로봇과 관련 제어·센서 기술 개발</t>
  </si>
  <si>
    <t>W020</t>
  </si>
  <si>
    <t>A207</t>
  </si>
  <si>
    <t>UnionStrong</t>
  </si>
  <si>
    <t>强联智创</t>
  </si>
  <si>
    <t>챵리엔 즈촹
(Qiang Lian Zhi Chuang)</t>
  </si>
  <si>
    <t>의료로봇·AI 수술지원</t>
  </si>
  <si>
    <t>신경혈관 AI 진단·수술 지원과 AI 카테터 성형 로봇 등 의료 솔루션 제공</t>
  </si>
  <si>
    <t>W021</t>
  </si>
  <si>
    <t>A208</t>
  </si>
  <si>
    <t>Longwood Valley MedTech</t>
  </si>
  <si>
    <t>长木谷</t>
  </si>
  <si>
    <t>창무구
(Chang Mu Gu)</t>
  </si>
  <si>
    <t>수술·의료 로봇</t>
  </si>
  <si>
    <t>AI 기반 정형외과 수술계획과 다관절 정형외과 수술로봇 개발</t>
  </si>
  <si>
    <t>W022</t>
  </si>
  <si>
    <t>A209</t>
  </si>
  <si>
    <t>JCMEH</t>
  </si>
  <si>
    <t>京城机电</t>
  </si>
  <si>
    <t>징청지디엔
(Jing Cheng Ji Dian)</t>
  </si>
  <si>
    <t>스마트제조·산업자동화 시스템</t>
  </si>
  <si>
    <t>기계·전기 기반 지능형 제조장비, 로봇 자동화 시스템 및 산업설비 통합</t>
  </si>
  <si>
    <t>W023</t>
  </si>
  <si>
    <t>A210</t>
  </si>
  <si>
    <t>CITIC Heavy Industries</t>
  </si>
  <si>
    <t>中信重工</t>
  </si>
  <si>
    <t>중신중궁
(Zhong Xin Zhong Gong)</t>
  </si>
  <si>
    <t>특수작업·산업로봇</t>
  </si>
  <si>
    <t>광산·전력·석유화학·소방 등 위험환경용 순찰·특수 로봇과 중장비 전개</t>
  </si>
  <si>
    <t>W024</t>
  </si>
  <si>
    <t>A211</t>
  </si>
  <si>
    <t>CVTE</t>
  </si>
  <si>
    <t>视源股份</t>
  </si>
  <si>
    <t>스위안구펀
(Shi Yuan Gu Fen)</t>
  </si>
  <si>
    <t>산업용 사족로봇·7축 로봇암</t>
  </si>
  <si>
    <t>MAXHUB X7 사족로봇과 A3/D3 유연 로봇암, 순찰·분류·데이터수집 응용</t>
  </si>
  <si>
    <t>W025</t>
  </si>
  <si>
    <t>A213</t>
  </si>
  <si>
    <t>Corenetic</t>
  </si>
  <si>
    <t>源络科技</t>
  </si>
  <si>
    <t>위안뤄커지
(Yuan Luo Ke Ji)</t>
  </si>
  <si>
    <t>산업용 체화지능 로봇·AI</t>
  </si>
  <si>
    <t>제조·바이오·화학 공정용 체화지능 로봇과 자율 작업 소프트웨어</t>
  </si>
  <si>
    <t>W026</t>
  </si>
  <si>
    <t>A215</t>
  </si>
  <si>
    <t>ECOVACS Robotics</t>
  </si>
  <si>
    <t>科沃斯机器人</t>
  </si>
  <si>
    <t>커워스지치런
(Ke Wo Si Ji Qi Ren)</t>
  </si>
  <si>
    <t>청소·가정 서비스로봇</t>
  </si>
  <si>
    <t>가정용·상업용 청소로봇과 가정용 체화지능 개발 플랫폼 전개</t>
  </si>
  <si>
    <t>W027</t>
  </si>
  <si>
    <t>A217</t>
  </si>
  <si>
    <t>Pudu Robotics</t>
  </si>
  <si>
    <t>普渡机器人</t>
  </si>
  <si>
    <t>푸두지치런
(Pu Du Ji Qi Ren)</t>
  </si>
  <si>
    <t>배송·청소·산업 서비스로봇과 휴머노이드/유사인형 로봇 라인업 전개</t>
  </si>
  <si>
    <t>W028</t>
  </si>
  <si>
    <t>A218</t>
  </si>
  <si>
    <t>Magic Cube Robot</t>
  </si>
  <si>
    <t>美丽魔方机器人</t>
  </si>
  <si>
    <t>메이리모팡지치런
(Mei Li Mo Fang Ji Qi Ren)</t>
  </si>
  <si>
    <t>의료·헬스케어 휴머노이드</t>
  </si>
  <si>
    <t>휴머노이드, 재활·보조, 의료 로봇 등 체화지능 기반 제품군 전개</t>
  </si>
  <si>
    <t>W029</t>
  </si>
  <si>
    <t>A219</t>
  </si>
  <si>
    <t>Eulon Robot</t>
  </si>
  <si>
    <t>优龙机器人</t>
  </si>
  <si>
    <t>요우룽지치런
(You Long Ji Qi Ren)</t>
  </si>
  <si>
    <t>보행보조·재활 외골격 로봇</t>
  </si>
  <si>
    <t>노인·재활·보행 지원용 웨어러블 외골격 본체, 동작의도 인식·보조제어 기술</t>
  </si>
  <si>
    <t>W030</t>
  </si>
  <si>
    <t>A220</t>
  </si>
  <si>
    <t>Toread Group</t>
  </si>
  <si>
    <t>探路者集团</t>
  </si>
  <si>
    <t>탄루저지퇀
(Tan Lu Zhe Ji Tuan)</t>
  </si>
  <si>
    <t>스포츠·보행보조 외골격</t>
  </si>
  <si>
    <t>아웃도어·트레킹용 경량 외골격과 보행 보조 구동·인체공학 기술</t>
  </si>
  <si>
    <t>W031</t>
  </si>
  <si>
    <t>A221</t>
  </si>
  <si>
    <t>PHYBOT</t>
  </si>
  <si>
    <t>动易科技</t>
  </si>
  <si>
    <t>둥이커지
(Dong Yi Ke Ji)</t>
  </si>
  <si>
    <t>범용 체화지능·휴머노이드 플랫폼</t>
  </si>
  <si>
    <t>PHYBOT 휴머노이드·사족 플랫폼과 피지컬 에이전트 기반 범용 체화지능</t>
  </si>
  <si>
    <t>W032</t>
  </si>
  <si>
    <t>A225</t>
  </si>
  <si>
    <t>GALILEO</t>
  </si>
  <si>
    <t>伽利略</t>
  </si>
  <si>
    <t>쟈리뤠
(Jia Li Lue)</t>
  </si>
  <si>
    <t>사족보행·특수작업 로봇</t>
  </si>
  <si>
    <t>산업 순찰·재난·보안용 사족보행 로봇과 휴머노이드 로봇 개발</t>
  </si>
  <si>
    <t>W033</t>
  </si>
  <si>
    <t>A301</t>
  </si>
  <si>
    <t>SENAD</t>
  </si>
  <si>
    <t>赛那德</t>
  </si>
  <si>
    <t>사이나더
(Sai Na De)</t>
  </si>
  <si>
    <t>물류 상하차 로봇·VLA</t>
  </si>
  <si>
    <t>트럭·창고 상하차용 체화지능 로봇, 물류 VLA 모델 및 자율 조작 시스템</t>
  </si>
  <si>
    <t>W034</t>
  </si>
  <si>
    <t>A302</t>
  </si>
  <si>
    <t>Dexmal</t>
  </si>
  <si>
    <t>原力灵机</t>
  </si>
  <si>
    <t>위안리링지
(Yuan Li Ling Ji)</t>
  </si>
  <si>
    <t>범용 휴머노이드·체화기반모델</t>
  </si>
  <si>
    <t>Apex 범용 로봇 본체와 DM 계열 체화 기초모델, 조작·이동 통합지능</t>
  </si>
  <si>
    <t>W039</t>
  </si>
  <si>
    <t>A309</t>
  </si>
  <si>
    <t>有研维</t>
  </si>
  <si>
    <t>요우옌웨이
(You Yan Wei)</t>
  </si>
  <si>
    <t>로봇용 정밀소재·부품</t>
  </si>
  <si>
    <t>로봇 구동·센싱 계통에 적용되는 정밀 소재·기능성 부품 중심 기술</t>
  </si>
  <si>
    <t>W041</t>
  </si>
  <si>
    <t>A315</t>
  </si>
  <si>
    <t>Vizum</t>
  </si>
  <si>
    <t>伟景智能</t>
  </si>
  <si>
    <t>웨이징즈넝
(Wei Jing Zhi Neng)</t>
  </si>
  <si>
    <t>스테레오 3D비전·휴머노이드</t>
  </si>
  <si>
    <t>스테레오 머신비전·3D 인지 시스템과 비전 기반 지능형 휴머노이드 기술</t>
  </si>
  <si>
    <t>W044</t>
  </si>
  <si>
    <t>A320</t>
  </si>
  <si>
    <t>Hongyuan Bearing</t>
  </si>
  <si>
    <t>鸿元轴承</t>
  </si>
  <si>
    <t>훙위안조우청
(Hong Yuan Zhou Cheng)</t>
  </si>
  <si>
    <t>정밀베어링·로봇 관절부품</t>
  </si>
  <si>
    <t>로봇 관절·모션 시스템에 쓰이는 정밀 베어링 및 기계부품 개발·공급</t>
  </si>
  <si>
    <t>W048</t>
  </si>
  <si>
    <t>A326</t>
  </si>
  <si>
    <t>Suzhou TendonBot Tech. Co. Ltd</t>
  </si>
  <si>
    <t>苏州知行健</t>
  </si>
  <si>
    <t>쑤저우 즈싱젠
(Suzhou Zhixingjian)</t>
  </si>
  <si>
    <t>인공근육·텐던 구동 액추에이터</t>
  </si>
  <si>
    <t>힘줄·케이블 구동 기반 로봇 인공근육, 경량 유연 액추에이션 및 생체모사 구동</t>
  </si>
  <si>
    <t>W049</t>
  </si>
  <si>
    <t>A401</t>
  </si>
  <si>
    <t>Shenhao Technology</t>
  </si>
  <si>
    <t>申昊科技</t>
  </si>
  <si>
    <t>선하오커지
(Shen Hao Ke Ji)</t>
  </si>
  <si>
    <t>순찰·검사 산업로봇</t>
  </si>
  <si>
    <t>전력·산업 설비 점검을 위한 지능형 순찰로봇과 검사 솔루션 제공</t>
  </si>
  <si>
    <t>W050</t>
  </si>
  <si>
    <t>A403</t>
  </si>
  <si>
    <t>Co&amp;Co</t>
  </si>
  <si>
    <t>可安可</t>
  </si>
  <si>
    <t>커안커
(Ke An Ke)</t>
  </si>
  <si>
    <t>자율순찰·산업점검 로봇</t>
  </si>
  <si>
    <t>자율주행 순찰로봇, 설비 데이터 수집·이상탐지·원격관제 기반 무인점검</t>
  </si>
  <si>
    <t>W051</t>
  </si>
  <si>
    <t>A405</t>
  </si>
  <si>
    <t>Nexwise</t>
  </si>
  <si>
    <t>新智杰</t>
  </si>
  <si>
    <t>신지지에
(Xin Zhi Jie)</t>
  </si>
  <si>
    <t>AI클라우드·스마트보안</t>
  </si>
  <si>
    <t>인공지능(AI) 인프라 구축, 스마트 보안, 스마트 시티 솔루션</t>
  </si>
  <si>
    <t>W053</t>
  </si>
  <si>
    <t>A409</t>
  </si>
  <si>
    <t>Ti5robot</t>
  </si>
  <si>
    <t>钛虎</t>
  </si>
  <si>
    <t>타이후
(Taihu)</t>
  </si>
  <si>
    <t>휴머노이드 관절·구동모듈</t>
  </si>
  <si>
    <t>휴머노이드 본체와 고토크 관절 액추에이터·모터·감속 구동모듈</t>
  </si>
  <si>
    <t>W054</t>
  </si>
  <si>
    <t>A410</t>
  </si>
  <si>
    <t>Lingyi Robot</t>
  </si>
  <si>
    <t>深圳领益</t>
  </si>
  <si>
    <t>선전링이
(Shen Zhen Ling Yi)</t>
  </si>
  <si>
    <t>휴머노이드 ODM·관절·감속기</t>
  </si>
  <si>
    <t>휴머노이드·사족 ODM과 감속기·관절모듈·서보드라이브·로봇손 자체 하드웨어</t>
  </si>
  <si>
    <t>W058</t>
  </si>
  <si>
    <t>A416</t>
  </si>
  <si>
    <t>Robotplusplus</t>
  </si>
  <si>
    <t>史河机器人</t>
  </si>
  <si>
    <t>시허 지치런
(She Ji Qi Ren)</t>
  </si>
  <si>
    <t>고소·벽면 작업 특수로봇</t>
  </si>
  <si>
    <t>선박·교량·건물 외벽의 도장·세척·검사용 등반·고소작업 특수로봇</t>
  </si>
  <si>
    <t>W059</t>
  </si>
  <si>
    <t>A421</t>
  </si>
  <si>
    <t>Shandong Guoxing Intelligent</t>
  </si>
  <si>
    <t>山东国兴智能</t>
  </si>
  <si>
    <t>산둥궈싱즈넝
(Shan Dong Guo Xing Zhi Neng)</t>
  </si>
  <si>
    <t>소방·재난·위험환경 특수로봇</t>
  </si>
  <si>
    <t>화재·홍수·지진·산림·위험공간용 정찰·소방·순찰 로봇과 특수 이동섀시</t>
  </si>
  <si>
    <t>W060</t>
  </si>
  <si>
    <t>A422</t>
  </si>
  <si>
    <t>Shandong Manda Intelligent Technology Co., Ltd.</t>
  </si>
  <si>
    <t>山东曼大智能科技有限公司</t>
  </si>
  <si>
    <t>산둥 만다 인텔리전트
(Shandong Manda Intelligent)</t>
  </si>
  <si>
    <t>소방·농업·방폭 특수로봇</t>
  </si>
  <si>
    <t>소방·위험물 순찰·농업 작업용 특수로봇, 4륜 조향 섀시와 자율주행 소프트웨어</t>
  </si>
  <si>
    <t>W061</t>
  </si>
  <si>
    <t>A423</t>
  </si>
  <si>
    <t>W062</t>
  </si>
  <si>
    <t>A425</t>
  </si>
  <si>
    <t>DaxAI Robotics</t>
  </si>
  <si>
    <t>大咖机器人</t>
  </si>
  <si>
    <t>다카지치런
(Da Ka Ji Qi Ren)</t>
  </si>
  <si>
    <t>이족 휴머노이드와 사족보행 플랫폼, 동적 보행·전신제어 및 연구개발용 본체</t>
  </si>
  <si>
    <t>W063</t>
  </si>
  <si>
    <t>A428</t>
  </si>
  <si>
    <t>TLIBOT</t>
  </si>
  <si>
    <t>天链机器人</t>
  </si>
  <si>
    <t>티앤리앤 지치런
(Tian Lian Ji Qi Ren)</t>
  </si>
  <si>
    <t>휴머노이드·협동로봇 플랫폼</t>
  </si>
  <si>
    <t>휴머노이드 본체와 협동로봇, 양팔 조작·모션제어 및 산업·연구용 플랫폼</t>
  </si>
  <si>
    <t>W065</t>
  </si>
  <si>
    <t>A430</t>
  </si>
  <si>
    <t>3X Motion</t>
  </si>
  <si>
    <t>三协电机</t>
  </si>
  <si>
    <t>산시에뎬지
 (Sanxie Dianji)</t>
  </si>
  <si>
    <t>BLDC·스테퍼모터·드라이버</t>
  </si>
  <si>
    <t>로봇·자동화용 BLDC/스테퍼 모터, 드라이버·컨트롤러 및 정밀 모션 시스템</t>
  </si>
  <si>
    <t>W070</t>
  </si>
  <si>
    <t>A501</t>
  </si>
  <si>
    <t>MORPHI</t>
  </si>
  <si>
    <t>墨奇智能</t>
  </si>
  <si>
    <t>모치 즈넝
(Mo Qi Zhi Neng)</t>
  </si>
  <si>
    <t>체화기반모델·데이터·엣지AI</t>
  </si>
  <si>
    <t>체화지능 모델, 데이터 수집·훈련·평가 파이프라인과 로봇 본체·엣지 배포 기술</t>
  </si>
  <si>
    <t>W071</t>
  </si>
  <si>
    <t>A503</t>
  </si>
  <si>
    <t>ACE Robotics</t>
  </si>
  <si>
    <t>大晓机器人</t>
  </si>
  <si>
    <t>다샤오 지치런
(Daxiao Jiqiren)</t>
  </si>
  <si>
    <t>체화AI·지능형 관절/제어모듈</t>
  </si>
  <si>
    <t>로봇 지능 소프트웨어와 모션·센싱 통합 모듈, 지능형 조작·제어 기술</t>
  </si>
  <si>
    <t>W072</t>
  </si>
  <si>
    <t>A504</t>
  </si>
  <si>
    <t>Amapbot</t>
  </si>
  <si>
    <t>高德机器人</t>
  </si>
  <si>
    <t>가오더 지치런
(Gaode Jiqìren)</t>
  </si>
  <si>
    <t>로봇 지도·SLAM·내비게이션</t>
  </si>
  <si>
    <t>고정밀 지도·위치결정·경로계획 기반 로봇 자율주행·내비게이션 소프트웨어</t>
  </si>
  <si>
    <t>알리바바 그룹</t>
  </si>
  <si>
    <t>W073</t>
  </si>
  <si>
    <t>A505</t>
  </si>
  <si>
    <t>RoboParty</t>
  </si>
  <si>
    <t>萝博派对</t>
  </si>
  <si>
    <t>로붜빠이뚜이
(Luo Bo Pai Dui)</t>
  </si>
  <si>
    <t>휴머노이드 로봇·엔터테인먼트</t>
  </si>
  <si>
    <t>휴머노이드 본체와 공연·체험·교육형 상호작용 콘텐츠 및 군집 운영</t>
  </si>
  <si>
    <t>W074</t>
  </si>
  <si>
    <t>A506</t>
  </si>
  <si>
    <t>Livox</t>
  </si>
  <si>
    <t>览沃科技</t>
  </si>
  <si>
    <t>란워커지
(Lan Wo Ke Ji)</t>
  </si>
  <si>
    <t>3D LiDAR·로봇 인지센서</t>
  </si>
  <si>
    <t>로봇·자율주행용 3D LiDAR 센서와 인지용 포인트클라우드 하드웨어 공급</t>
  </si>
  <si>
    <t>W075</t>
  </si>
  <si>
    <t>A507</t>
  </si>
  <si>
    <t>Frontop</t>
  </si>
  <si>
    <t>凡拓数创</t>
  </si>
  <si>
    <t>판퉈 수촹
(Fantuo Shuchuang)</t>
  </si>
  <si>
    <t>디지털트윈·3D공간·스마트시티</t>
  </si>
  <si>
    <t>3D 디지털 콘텐츠·가상공간·디지털트윈 기반 스마트시티 시각화·운영 기술</t>
  </si>
  <si>
    <t>W076</t>
  </si>
  <si>
    <t>A508</t>
  </si>
  <si>
    <t>Cytoderm Technology</t>
  </si>
  <si>
    <t>细胞壁智能</t>
  </si>
  <si>
    <t>시바오비 즈넝
(Xìbaobì Zhìneng)</t>
  </si>
  <si>
    <t>데스크톱 로봇·AI 생활기기</t>
  </si>
  <si>
    <t>소비자용 데스크톱 로봇과 AI 네이티브 인터랙션·생활 모니터링형 지능형 하드웨어</t>
  </si>
  <si>
    <t>W077</t>
  </si>
  <si>
    <t>A509</t>
  </si>
  <si>
    <t>TIANQING</t>
  </si>
  <si>
    <t>轨迹动力</t>
  </si>
  <si>
    <t>궤이지둥리
(Gui Ji Dong Li)</t>
  </si>
  <si>
    <t>모터·관절 구동부품</t>
  </si>
  <si>
    <t>로봇과 자동화 장비용 모터·액추에이터·구동계 핵심부품 개발·공급</t>
  </si>
  <si>
    <t>W078</t>
  </si>
  <si>
    <t>A510</t>
  </si>
  <si>
    <t>Run Robotics</t>
  </si>
  <si>
    <t>전지형 이동·특수작업 로봇</t>
  </si>
  <si>
    <t>거친 지형 이동 플랫폼과 야외·산업·안전 분야 특수 작업용 로봇</t>
  </si>
  <si>
    <t>W079</t>
  </si>
  <si>
    <t>A513</t>
  </si>
  <si>
    <t>RoboScience</t>
  </si>
  <si>
    <t>机器科学</t>
  </si>
  <si>
    <t>지치커쉐
(Ji Qi Ke Xue)</t>
  </si>
  <si>
    <t>범용 체화지능·VLA·시뮬레이션</t>
  </si>
  <si>
    <t>Visics 계열 체화모델, RoboMirage 시뮬레이션 및 휠형 휴머노이드 조작 플랫폼</t>
  </si>
  <si>
    <t>W080</t>
  </si>
  <si>
    <t>A514</t>
  </si>
  <si>
    <t>Motorevo</t>
  </si>
  <si>
    <t>泉智博</t>
  </si>
  <si>
    <t>취안즈보
(Quanzhibo)</t>
  </si>
  <si>
    <t>일체형 로봇 관절·액추에이터</t>
  </si>
  <si>
    <t>모터·감속기·엔코더·드라이브 통합형 고토크 로봇 관절과 모션제어</t>
  </si>
  <si>
    <t>W081</t>
  </si>
  <si>
    <t>A516</t>
  </si>
  <si>
    <t>Degrii</t>
  </si>
  <si>
    <t>众清智能</t>
  </si>
  <si>
    <t>중칭 즈넝
(Zhongqing Zhineng)</t>
  </si>
  <si>
    <t>수영장·청소 서비스로봇</t>
  </si>
  <si>
    <t>스마트 수영장 청소 등 소비자용 자율 청소로봇과 수중 주행·경로계획 기술</t>
  </si>
  <si>
    <t>W085</t>
  </si>
  <si>
    <t>B101</t>
  </si>
  <si>
    <t>Spirit AI</t>
  </si>
  <si>
    <t>千寻智能</t>
  </si>
  <si>
    <t>치엔숸 즈넝
(Qian Xun Zhi Neng)</t>
  </si>
  <si>
    <t>휴머노이드·체화AI</t>
  </si>
  <si>
    <t>범용 휴머노이드 로봇과 체화지능 대모델·학습 알고리즘 개발</t>
  </si>
  <si>
    <t>W086</t>
  </si>
  <si>
    <t>B102</t>
  </si>
  <si>
    <t>ROBOTERA</t>
  </si>
  <si>
    <t>星动纪元</t>
  </si>
  <si>
    <t>싱둥 지위안
(Xing Dong Ji Yuan)</t>
  </si>
  <si>
    <t>범용 휴머노이드 로봇과 체화지능 하드웨어·AI 플랫폼 개발</t>
  </si>
  <si>
    <t>W088</t>
  </si>
  <si>
    <t>B105</t>
  </si>
  <si>
    <t>UniX AI</t>
  </si>
  <si>
    <t>优理奇机器人</t>
  </si>
  <si>
    <t>요우리치지 치런
(You Li Qi Ji Qi Ren)</t>
  </si>
  <si>
    <t>휴머노이드 및 체화지능 로봇 본체·제어기술 개발</t>
  </si>
  <si>
    <t>W090</t>
  </si>
  <si>
    <t>B108</t>
  </si>
  <si>
    <t>Noetix Robotics</t>
  </si>
  <si>
    <t>松延动力</t>
  </si>
  <si>
    <t>숭옌 둥리
(Song Yan Dong Li)</t>
  </si>
  <si>
    <t>소형 휴머노이드·개발플랫폼</t>
  </si>
  <si>
    <t>소형·범용 휴머노이드 본체와 교육·연구용 체화지능 개발 플랫폼</t>
  </si>
  <si>
    <t>W093</t>
  </si>
  <si>
    <t>B111</t>
  </si>
  <si>
    <t>SMC</t>
  </si>
  <si>
    <t>공압·FA 자동화부품</t>
  </si>
  <si>
    <t>공압·전동 액추에이터, 밸브, 센서 등 공장자동화 부품 공급</t>
  </si>
  <si>
    <t>W094</t>
  </si>
  <si>
    <t>B112</t>
  </si>
  <si>
    <t>Future Lab Zone</t>
  </si>
  <si>
    <t>未来实验区</t>
  </si>
  <si>
    <t>미래실험구
과학기술 시범지구</t>
  </si>
  <si>
    <t>미래기술·연구성과 공동전시</t>
  </si>
  <si>
    <t>대학·연구기관·스타트업의 실험단계 로봇·AI 원천기술 및 미래 응용 콘셉트</t>
  </si>
  <si>
    <t>전시/실험 구역</t>
  </si>
  <si>
    <t>W095</t>
  </si>
  <si>
    <t>B113</t>
  </si>
  <si>
    <t>NSK</t>
  </si>
  <si>
    <t>정밀베어링·볼스크류·리니어모션</t>
  </si>
  <si>
    <t>로봇 관절·자동화용 정밀 베어링, 볼스크류·리니어가이드 및 마찰저감 기술</t>
  </si>
  <si>
    <t>W096</t>
  </si>
  <si>
    <t>B115</t>
  </si>
  <si>
    <t>AMD</t>
  </si>
  <si>
    <t>미국</t>
  </si>
  <si>
    <t>AI 가속기·로봇 컴퓨팅</t>
  </si>
  <si>
    <t>로봇·엣지 AI에 활용되는 CPU/GPU 및 컴퓨팅 플랫폼 제공</t>
  </si>
  <si>
    <t>W097</t>
  </si>
  <si>
    <t>B116</t>
  </si>
  <si>
    <t>3M</t>
  </si>
  <si>
    <t>로봇·전자용 산업소재</t>
  </si>
  <si>
    <t>접착·보호·전기/전자 소재 등 로봇 제조에 쓰이는 산업소재 공급</t>
  </si>
  <si>
    <t>W099</t>
  </si>
  <si>
    <t>B119</t>
  </si>
  <si>
    <t>LOGICDATA</t>
  </si>
  <si>
    <t>오스트리아</t>
  </si>
  <si>
    <t>전동 액추에이터·리니어구동</t>
  </si>
  <si>
    <t>전동 리니어 액추에이터·모션 시스템과 메카트로닉스 제어부품 제공</t>
  </si>
  <si>
    <t>W100</t>
  </si>
  <si>
    <t>B201</t>
  </si>
  <si>
    <t>Lejoin Intelligence</t>
  </si>
  <si>
    <t>乐聚机器人</t>
  </si>
  <si>
    <t>러쥐 지치런
(Le Ju Ji Qi Ren)</t>
  </si>
  <si>
    <t>교육·연구용 휴머노이드 플랫폼</t>
  </si>
  <si>
    <t>휴머노이드 로봇 본체와 교육·연구·산업 실증용 체화지능 플랫폼</t>
  </si>
  <si>
    <t>W102</t>
  </si>
  <si>
    <t>B203</t>
  </si>
  <si>
    <t>PaXini Tech</t>
  </si>
  <si>
    <t>帕西尼</t>
  </si>
  <si>
    <t>파시니
(Pa Xi Ni)</t>
  </si>
  <si>
    <t>촉각센서·휴머노이드</t>
  </si>
  <si>
    <t>촉각센서·덱스터러스 조작 기술과 휴머노이드 로봇 플랫폼 개발</t>
  </si>
  <si>
    <t>W103</t>
  </si>
  <si>
    <t>B205</t>
  </si>
  <si>
    <t>Linkerbot</t>
  </si>
  <si>
    <t>灵心巧手</t>
  </si>
  <si>
    <t>링신 챠오소우
(Ling Xin Qiao Shou)</t>
  </si>
  <si>
    <t>다지 로봇손·그리퍼</t>
  </si>
  <si>
    <t>휴머노이드용 다자유도 덱스터러스 핸드와 손 제어 시스템 개발</t>
  </si>
  <si>
    <t>W106</t>
  </si>
  <si>
    <t>B209</t>
  </si>
  <si>
    <t>RealSense</t>
  </si>
  <si>
    <t>3D 깊이카메라·로봇 비전</t>
  </si>
  <si>
    <t>깊이카메라와 3D 비전 기술을 통해 로봇의 거리·공간 인지 지원</t>
  </si>
  <si>
    <t>W107</t>
  </si>
  <si>
    <t>B210</t>
  </si>
  <si>
    <t>Realtek</t>
  </si>
  <si>
    <t>대만</t>
  </si>
  <si>
    <t>통신·네트워크 반도체</t>
  </si>
  <si>
    <t>통신·멀티미디어·임베디드 반도체를 공급하며 로봇 연결성과 제어에 활용</t>
  </si>
  <si>
    <t>W109</t>
  </si>
  <si>
    <t>B215</t>
  </si>
  <si>
    <t>KAI</t>
  </si>
  <si>
    <t>超维动力</t>
  </si>
  <si>
    <t>차오웨이둥리
(Chao Wei Dong Li)</t>
  </si>
  <si>
    <t>W110</t>
  </si>
  <si>
    <t>B216</t>
  </si>
  <si>
    <t>Noitom Robotics</t>
  </si>
  <si>
    <t>诺亦腾机器人</t>
  </si>
  <si>
    <t>눠이텅 지치런
(Nuo Yi Teng Ji Qi Ren)</t>
  </si>
  <si>
    <t>모션캡처·텔레오퍼레이션·로봇데이터</t>
  </si>
  <si>
    <t>인체·손 동작 모션캡처, 로봇 원격조작과 체화지능 학습용 동작 데이터 기술</t>
  </si>
  <si>
    <t>W111</t>
  </si>
  <si>
    <t>B217</t>
  </si>
  <si>
    <t>PsiBot</t>
  </si>
  <si>
    <t>灵初智能</t>
  </si>
  <si>
    <t>링추 즈넝
(Ling Chu Zhi Neng)</t>
  </si>
  <si>
    <t>범용 체화지능·양팔 조작로봇</t>
  </si>
  <si>
    <t>PSI 체화모델과 휠형 양팔 로봇, 장시간 다단계 작업용 자율 조작 기술</t>
  </si>
  <si>
    <t>W112</t>
  </si>
  <si>
    <t>B218</t>
  </si>
  <si>
    <t>Tashan Technology</t>
  </si>
  <si>
    <t>他山科技</t>
  </si>
  <si>
    <t>타산커지
(Ta Shan Ke Ji)</t>
  </si>
  <si>
    <t>촉각센서·전자피부</t>
  </si>
  <si>
    <t>로봇 손끝용 고밀도 촉각센서와 유연 전자피부, 접촉력·미끄럼 감지 기술</t>
  </si>
  <si>
    <t>W116</t>
  </si>
  <si>
    <t>B225</t>
  </si>
  <si>
    <t>XELA Robotics</t>
  </si>
  <si>
    <t>3D 촉각센서·로봇 그립감지</t>
  </si>
  <si>
    <t>로봇 손·그리퍼용 다축 촉각센서와 접촉분포 측정 기반 정밀 조작 피드백</t>
  </si>
  <si>
    <t>W117</t>
  </si>
  <si>
    <t>B227</t>
  </si>
  <si>
    <t>Murata</t>
  </si>
  <si>
    <t>MLCC·MEMS센서·전자부품</t>
  </si>
  <si>
    <t>로봇 전장용 MLCC·센서·통신모듈 등 소형 고신뢰 전자부품</t>
  </si>
  <si>
    <t>W119</t>
  </si>
  <si>
    <t>B301</t>
  </si>
  <si>
    <t>Melexis</t>
  </si>
  <si>
    <t>벨기에</t>
  </si>
  <si>
    <t>센서·아날로그 반도체</t>
  </si>
  <si>
    <t>자기·위치·온도 등 센서 IC와 임베디드 반도체 공급</t>
  </si>
  <si>
    <t>W120</t>
  </si>
  <si>
    <t>B302</t>
  </si>
  <si>
    <t>GigaDevice</t>
  </si>
  <si>
    <t>兆易创新</t>
  </si>
  <si>
    <t>자오이 촹신
(Zhao Yi Chuang Xin)</t>
  </si>
  <si>
    <t>전력·제어 반도체</t>
  </si>
  <si>
    <t>메모리·MCU 등 로봇 제어와 임베디드 시스템용 반도체 공급</t>
  </si>
  <si>
    <t>W121</t>
  </si>
  <si>
    <t>B303</t>
  </si>
  <si>
    <t>Black Sesame Technologies</t>
  </si>
  <si>
    <t>黑芝麻智能</t>
  </si>
  <si>
    <t>헤이즈마 즈넝
(Hei Zhi Ma Zhi Neng)</t>
  </si>
  <si>
    <t>AI반도체</t>
  </si>
  <si>
    <t>자율주행·로봇용 고성능 AI 컴퓨팅 SoC와 소프트웨어 플랫폼 개발</t>
  </si>
  <si>
    <t>W122</t>
  </si>
  <si>
    <t>B305</t>
  </si>
  <si>
    <t>HESAI</t>
  </si>
  <si>
    <t>禾赛科技</t>
  </si>
  <si>
    <t>허사이 커지
(He Sai Ke Ji)</t>
  </si>
  <si>
    <t>로봇·자율주행용 고성능 LiDAR 센서 개발·공급</t>
  </si>
  <si>
    <t>W124</t>
  </si>
  <si>
    <t>B307</t>
  </si>
  <si>
    <t>KELI SENSING</t>
  </si>
  <si>
    <t>柯力传感</t>
  </si>
  <si>
    <t>커리 촨간
(Ke Li Chuan Gan)</t>
  </si>
  <si>
    <t>힘·하중 계측센서</t>
  </si>
  <si>
    <t>힘·중량·로드셀 및 산업 계측 센서 공급</t>
  </si>
  <si>
    <t>W126</t>
  </si>
  <si>
    <t>B309</t>
  </si>
  <si>
    <t>EVE Energy</t>
  </si>
  <si>
    <t>亿纬锂能</t>
  </si>
  <si>
    <t>이웨이 리넝
(Yi Wei Li Neng)</t>
  </si>
  <si>
    <t>로봇용 리튬이온 배터리</t>
  </si>
  <si>
    <t>리튬이온 배터리 셀·팩과 산업/로봇용 전원 솔루션 공급</t>
  </si>
  <si>
    <t>W127</t>
  </si>
  <si>
    <t>B310</t>
  </si>
  <si>
    <t>NOK-Freudenberg China</t>
  </si>
  <si>
    <t>恩福中国</t>
  </si>
  <si>
    <t>언푸 중궈
(En Fu Zhong Guo)</t>
  </si>
  <si>
    <t>정밀 씰·마찰저감 부품</t>
  </si>
  <si>
    <t>로봇 관절·액추에이터용 씰링, 저마찰 소재·정밀 고무부품 및 밀봉 기술</t>
  </si>
  <si>
    <t>일본 독일 합작회사의 중국지사</t>
  </si>
  <si>
    <t>W128</t>
  </si>
  <si>
    <t>B311</t>
  </si>
  <si>
    <t>Rockchip</t>
  </si>
  <si>
    <t>瑞芯微</t>
  </si>
  <si>
    <t>뤠이신 웨이
(Rui Xin Wei)</t>
  </si>
  <si>
    <t>AI SoC·엣지 프로세서</t>
  </si>
  <si>
    <t>로봇·비전·엣지 디바이스용 SoC와 AI 컴퓨팅 칩 제공</t>
  </si>
  <si>
    <t>W129</t>
  </si>
  <si>
    <t>B312</t>
  </si>
  <si>
    <t>Huixi</t>
  </si>
  <si>
    <t>辉羲智能</t>
  </si>
  <si>
    <t>훼이시 즈넝
(Hui Xi Zhi Neng)</t>
  </si>
  <si>
    <t>RPU·체화AI 컴퓨팅 플랫폼</t>
  </si>
  <si>
    <t>로봇 전용 RPU·엣지 컴퓨팅 하드웨어와 VLA 모델 구동용 고성능 체화AI 플랫폼</t>
  </si>
  <si>
    <t>W130</t>
  </si>
  <si>
    <t>B313</t>
  </si>
  <si>
    <t>ORBBEC</t>
  </si>
  <si>
    <t>奥比中光</t>
  </si>
  <si>
    <t>아오비중광
(ORBBEC)</t>
  </si>
  <si>
    <t>구조광·ToF 등 3D 비전 카메라, 로봇 공간인지 및 피지컬AI 데이터 수집 기술</t>
  </si>
  <si>
    <t>W132</t>
  </si>
  <si>
    <t>B316</t>
  </si>
  <si>
    <t>XJCSENSOR</t>
  </si>
  <si>
    <t>溪林传感</t>
  </si>
  <si>
    <t>시린 촨간
(Xi Lin Chuan Gan)</t>
  </si>
  <si>
    <t>힘·촉각·인지 센서</t>
  </si>
  <si>
    <t>로봇용 센서·계측 및 상태/환경 인지 솔루션 제공</t>
  </si>
  <si>
    <t>W133</t>
  </si>
  <si>
    <t>B318</t>
  </si>
  <si>
    <t>Arcvideo Tech</t>
  </si>
  <si>
    <t>当虹科技</t>
  </si>
  <si>
    <t>당훙 커지
(Dang Hong Ke Ji)</t>
  </si>
  <si>
    <t>AI영상·머신비전·엣지분석</t>
  </si>
  <si>
    <t>영상 AI·비전 인식·엣지 처리 기반 로봇·산업 현장 시각지능 소프트웨어</t>
  </si>
  <si>
    <t>W134</t>
  </si>
  <si>
    <t>B319</t>
  </si>
  <si>
    <t>Grepow</t>
  </si>
  <si>
    <t>格瑞普电池</t>
  </si>
  <si>
    <t>거뤠이푸 디엔츠
(Ge Rui Pu Dian Chi)</t>
  </si>
  <si>
    <t>로봇·드론 등 고출력 응용용 리튬 배터리팩과 전원 솔루션 제공</t>
  </si>
  <si>
    <t>W135</t>
  </si>
  <si>
    <t>B320</t>
  </si>
  <si>
    <t>Innodisk</t>
  </si>
  <si>
    <t>宜鼎国际</t>
  </si>
  <si>
    <t>이딩 궈지
(Yi Ding Guo Ji)</t>
  </si>
  <si>
    <t>산업용 저장장치·엣지AI</t>
  </si>
  <si>
    <t>산업용 저장장치·메모리와 엣지 AI/임베디드 컴퓨팅 솔루션 제공</t>
  </si>
  <si>
    <t>대만 회사</t>
  </si>
  <si>
    <t>W136</t>
  </si>
  <si>
    <t>B321</t>
  </si>
  <si>
    <t>Naura Microelectronics</t>
  </si>
  <si>
    <t>华创七星微</t>
  </si>
  <si>
    <t>화촹 치싱웨이
(Huachuang Qixingwei)</t>
  </si>
  <si>
    <t>전원·신호·프로세서 반도체</t>
  </si>
  <si>
    <t>로봇 전장용 전원관리·아날로그 신호체인·메모리·프로세서·SiP 모듈</t>
  </si>
  <si>
    <t>W137</t>
  </si>
  <si>
    <t>B322</t>
  </si>
  <si>
    <t>SLAMTEC</t>
  </si>
  <si>
    <t>思岚科技</t>
  </si>
  <si>
    <t>스란 커지
(Si Lan Ke Ji)</t>
  </si>
  <si>
    <t>LiDAR·SLAM·자율주행</t>
  </si>
  <si>
    <t>2D/3D LiDAR, SLAM 내비게이션과 이동로봇 위치추정 솔루션 제공</t>
  </si>
  <si>
    <t>W138</t>
  </si>
  <si>
    <t>B323</t>
  </si>
  <si>
    <t>ZVISION</t>
  </si>
  <si>
    <t>一径科技</t>
  </si>
  <si>
    <t>이징 커지
(Yi Jing Ke Ji)</t>
  </si>
  <si>
    <t>자율주행·로봇용 LiDAR 센서와 3D 인지 솔루션 제공</t>
  </si>
  <si>
    <t>W140</t>
  </si>
  <si>
    <t>B326</t>
  </si>
  <si>
    <t>ZEMIC</t>
  </si>
  <si>
    <t>航空工业电测</t>
  </si>
  <si>
    <t>항쿵궁예디엔처
(Hang Kong Gong Ye Dian Ce)</t>
  </si>
  <si>
    <t>로드셀·힘/중량 계측 센서와 정밀 측정 솔루션 공급</t>
  </si>
  <si>
    <t>W142</t>
  </si>
  <si>
    <t>B329</t>
  </si>
  <si>
    <t>北大分子</t>
  </si>
  <si>
    <t>베이다펀즈
(Bei Da Fen Zi)</t>
  </si>
  <si>
    <t>고분자·기능성 소재 연구</t>
  </si>
  <si>
    <t>로봇·스마트기기 적용 가능 고분자·분자소재 및 기능성 재료 연구성과</t>
  </si>
  <si>
    <t>W143</t>
  </si>
  <si>
    <t>B401</t>
  </si>
  <si>
    <t>Henkel</t>
  </si>
  <si>
    <t>접착제·실링·전자재료 등 로봇/전자 제조 공정용 소재 제공</t>
  </si>
  <si>
    <t>W145</t>
  </si>
  <si>
    <t>B403</t>
  </si>
  <si>
    <t>ZWHAND</t>
  </si>
  <si>
    <t>兆威</t>
  </si>
  <si>
    <t>자 오웨이
(Zhao Wei)</t>
  </si>
  <si>
    <t>다지 로봇손·마이크로구동</t>
  </si>
  <si>
    <t>정밀 마이크로 구동계와 휴머노이드용 덱스터러스 핸드 솔루션 전개</t>
  </si>
  <si>
    <t>W146</t>
  </si>
  <si>
    <t>B405</t>
  </si>
  <si>
    <t>Inspire Robots</t>
  </si>
  <si>
    <t>因时机器人</t>
  </si>
  <si>
    <t>인스 지치런
(Yin Shi Ji Qi Ren)</t>
  </si>
  <si>
    <t>휴머노이드 및 자동화용 덱스터러스 핸드와 그리퍼 개발</t>
  </si>
  <si>
    <t>W147</t>
  </si>
  <si>
    <t>B406</t>
  </si>
  <si>
    <t>BrainCo</t>
  </si>
  <si>
    <t>强脑科技</t>
  </si>
  <si>
    <t>챵나오 커지
(Qiang Nao Ke Ji)</t>
  </si>
  <si>
    <t>BCI·신경인터페이스 로봇</t>
  </si>
  <si>
    <t>뇌-컴퓨터 인터페이스와 신경신호 기반 재활·로봇 제어 솔루션 개발</t>
  </si>
  <si>
    <t>W148</t>
  </si>
  <si>
    <t>B407</t>
  </si>
  <si>
    <t>Manifold Tech</t>
  </si>
  <si>
    <t>留形科技</t>
  </si>
  <si>
    <t>류싱 커지
(Liu Xing Ke Ji)</t>
  </si>
  <si>
    <t>체화지능 데이터·로봇 소프트웨어</t>
  </si>
  <si>
    <t>로봇 학습데이터·체화지능 알고리즘 및 실제 작업 일반화를 위한 소프트웨어 기술</t>
  </si>
  <si>
    <t>W149</t>
  </si>
  <si>
    <t>B408</t>
  </si>
  <si>
    <t>HANWEI ELECTRONICS</t>
  </si>
  <si>
    <t>汉威科技集团</t>
  </si>
  <si>
    <t>이웨이커지지퇀
(Yi Wei Ke Ji Ji Tuan)</t>
  </si>
  <si>
    <t>로봇용 정밀센서</t>
  </si>
  <si>
    <t>가스·환경·산업 안전 센서 및 지능형 계측 솔루션 제공</t>
  </si>
  <si>
    <t>W150</t>
  </si>
  <si>
    <t>B409</t>
  </si>
  <si>
    <t>JWIPC</t>
  </si>
  <si>
    <t>智微智能</t>
  </si>
  <si>
    <t>즈웨이 즈넝
(Zhi Wei Zhi Neng)</t>
  </si>
  <si>
    <t>산업용 컴퓨팅·엣지AI</t>
  </si>
  <si>
    <t>산업용 PC·엣지 컴퓨팅 하드웨어를 공급하여 로봇 제어·AI 추론 지원</t>
  </si>
  <si>
    <t>W151</t>
  </si>
  <si>
    <t>B410</t>
  </si>
  <si>
    <t>igus</t>
  </si>
  <si>
    <t>무급유 베어링, 케이블체인, 로봇 케이블과 저비용 자동화 부품 공급</t>
  </si>
  <si>
    <t>W152</t>
  </si>
  <si>
    <t>B411</t>
  </si>
  <si>
    <t>MinebeaMitsumi</t>
  </si>
  <si>
    <t>정밀부품</t>
  </si>
  <si>
    <t>정밀 베어링·모터·센서 등 로봇 메카트로닉스 핵심부품 공급</t>
  </si>
  <si>
    <t>W153</t>
  </si>
  <si>
    <t>B412</t>
  </si>
  <si>
    <t>OYMotion</t>
  </si>
  <si>
    <t>傲意科技</t>
  </si>
  <si>
    <t>아오이 커지
(Ao Yi Ke Ji)</t>
  </si>
  <si>
    <t>근전도·바이오센서·로봇손</t>
  </si>
  <si>
    <t>근전도 등 바이오 신호 센싱과 로봇 손·재활 인터페이스 기술 개발</t>
  </si>
  <si>
    <t>W154</t>
  </si>
  <si>
    <t>B413</t>
  </si>
  <si>
    <t>Singapore Pavilion</t>
  </si>
  <si>
    <t>싱가포르 공동관</t>
  </si>
  <si>
    <t>싱가포르</t>
  </si>
  <si>
    <t>싱가포르 로봇·AI 공동관</t>
  </si>
  <si>
    <t>싱가포르 로봇·AI·딥테크 기업 및 연구기관의 기술·사업화 사례 공동전시</t>
  </si>
  <si>
    <t>공동관</t>
  </si>
  <si>
    <t>W155</t>
  </si>
  <si>
    <t>B415</t>
  </si>
  <si>
    <t>DexRobot</t>
  </si>
  <si>
    <t>灵巧智能</t>
  </si>
  <si>
    <t>링챠오 즈넝
(Ling Qiao Zhi Neng)</t>
  </si>
  <si>
    <t>휴머노이드용 덱스터러스 핸드와 정밀 조작 솔루션 개발</t>
  </si>
  <si>
    <t>W156</t>
  </si>
  <si>
    <t>B416</t>
  </si>
  <si>
    <t>FULAI</t>
  </si>
  <si>
    <t>福莱新材</t>
  </si>
  <si>
    <t>푸라이 신차이
(Fu Lai Xin Cai)</t>
  </si>
  <si>
    <t>로봇·전자용 기능성 필름/소재</t>
  </si>
  <si>
    <t>전자·산업용 기능성 필름·접착 소재 등 로봇 제조 관련 소재 공급</t>
  </si>
  <si>
    <t>W157</t>
  </si>
  <si>
    <t>B418</t>
  </si>
  <si>
    <t>DH-ROBOTICS</t>
  </si>
  <si>
    <t>大寰机器人</t>
  </si>
  <si>
    <t>다환 지치런
(Da Huan Ji Qi Ren)</t>
  </si>
  <si>
    <t>전동그리퍼·리니어액추에이터</t>
  </si>
  <si>
    <t>전동 그리퍼·로터리 그리퍼와 선형 액추에이터 등 EOAT 제공</t>
  </si>
  <si>
    <t>W158</t>
  </si>
  <si>
    <t>B419</t>
  </si>
  <si>
    <t>Neoway</t>
  </si>
  <si>
    <t>有方科技</t>
  </si>
  <si>
    <t>요우팡 커지
(You Fang Ke Ji)</t>
  </si>
  <si>
    <t>산업 IoT·무선통신 모듈</t>
  </si>
  <si>
    <t>셀룰러·IoT 통신 모듈과 산업용 연결 솔루션 제공</t>
  </si>
  <si>
    <t>W159</t>
  </si>
  <si>
    <t>B420</t>
  </si>
  <si>
    <t>EMAG</t>
  </si>
  <si>
    <t>정밀가공·자동화 제조장비</t>
  </si>
  <si>
    <t>금속 가공용 공작기계와 자동화 생산 솔루션 제공</t>
  </si>
  <si>
    <t>W160</t>
  </si>
  <si>
    <t>B421</t>
  </si>
  <si>
    <t>CasiaHand Robotics</t>
  </si>
  <si>
    <t>中科硅纪</t>
  </si>
  <si>
    <t>중커훠지
(Zhong Ke Huo Ji)</t>
  </si>
  <si>
    <t>로봇손·다지 조작·핸드제어</t>
  </si>
  <si>
    <t>다지 로봇손과 손가락 구동·센싱·정밀 파지 제어 기반 휴머노이드 말단장치</t>
  </si>
  <si>
    <t>W161</t>
  </si>
  <si>
    <t>B422</t>
  </si>
  <si>
    <t>MISUMI</t>
  </si>
  <si>
    <t>FA 기계부품·표준품</t>
  </si>
  <si>
    <t>공장자동화용 표준 기계부품·모션·프레임 부품을 폭넓게 공급</t>
  </si>
  <si>
    <t>W162</t>
  </si>
  <si>
    <t>B423</t>
  </si>
  <si>
    <t>Sycsense</t>
  </si>
  <si>
    <t>赛感科技</t>
  </si>
  <si>
    <t>사이간 커지
(Sai Gan Ke Ji)</t>
  </si>
  <si>
    <t>촉각·힘센서·전자피부</t>
  </si>
  <si>
    <t>로봇 손·그리퍼용 촉각 및 힘 감지센서, 유연 전자피부와 접촉 인지 기술</t>
  </si>
  <si>
    <t>W163</t>
  </si>
  <si>
    <t>B425</t>
  </si>
  <si>
    <t>WISE NEURO</t>
  </si>
  <si>
    <t>灵脉超维</t>
  </si>
  <si>
    <t>링마이 차오웨이
(Ling Mai Chao Wei)</t>
  </si>
  <si>
    <t>신경인터페이스·뉴로테크</t>
  </si>
  <si>
    <t>신경 인터페이스·센싱 등 뇌/신경공학 기반 기술 개발</t>
  </si>
  <si>
    <t>W164</t>
  </si>
  <si>
    <t>B426</t>
  </si>
  <si>
    <t>Wuhan Huaweike Intelligent Technology Co., Ltd.</t>
  </si>
  <si>
    <t>武汉华威科智能技术有限公司</t>
  </si>
  <si>
    <t>우한 화웨이커
(Wuhan Huaweike)</t>
  </si>
  <si>
    <t>유연 촉각센서·전자피부·촉각 데이터 수집</t>
  </si>
  <si>
    <t>휴머노이드·로봇 그리퍼용 압저항식 고정밀 촉각센서·전자피부 및 전장 촉각 데이터 수집 글러브 개발</t>
  </si>
  <si>
    <t>W165</t>
  </si>
  <si>
    <t>B428</t>
  </si>
  <si>
    <t>BLT</t>
  </si>
  <si>
    <t>西安铂力特</t>
  </si>
  <si>
    <t>시안보리터
(Xi An Bo Li Te)</t>
  </si>
  <si>
    <t>금속 적층제조·3D프린팅</t>
  </si>
  <si>
    <t>산업용 금속 3D 프린팅 장비·소재·제조 서비스 제공</t>
  </si>
  <si>
    <t>W166</t>
  </si>
  <si>
    <t>B429</t>
  </si>
  <si>
    <t>INDEMIND</t>
  </si>
  <si>
    <t>盈迪曼德</t>
  </si>
  <si>
    <t>잉디만더
(Ying Di Man De)</t>
  </si>
  <si>
    <t>로봇비전·VSLAM</t>
  </si>
  <si>
    <t>로봇용 3D 비전, 위치추정·내비게이션 및 공간지능 솔루션 제공</t>
  </si>
  <si>
    <t>W168</t>
  </si>
  <si>
    <t>C101</t>
  </si>
  <si>
    <t>Pavilion of Central SOEs</t>
  </si>
  <si>
    <t>국유기업 공동전시</t>
  </si>
  <si>
    <t>중앙국유기업 로봇 공동관</t>
  </si>
  <si>
    <t>중앙 SOE의 산업로봇·특수로봇·핵심부품·스마트제조 성과 공동전시</t>
  </si>
  <si>
    <t>W170</t>
  </si>
  <si>
    <t>C104</t>
  </si>
  <si>
    <t>Galbot</t>
  </si>
  <si>
    <t>银河通用</t>
  </si>
  <si>
    <t>인허 퉁융
(Yin He Tong Yong)</t>
  </si>
  <si>
    <t>체화AI·휴머노이드</t>
  </si>
  <si>
    <t>범용 체화지능 로봇과 모바일 조작·휴머노이드 플랫폼 개발</t>
  </si>
  <si>
    <t>W171</t>
  </si>
  <si>
    <t>C105</t>
  </si>
  <si>
    <t>Zhejiang Humanoid</t>
  </si>
  <si>
    <t>浙江人形</t>
  </si>
  <si>
    <t>저쟝 런싱
(Zhe Jiang Ren Xing)</t>
  </si>
  <si>
    <t>휴머노이드 연구·산업화 플랫폼</t>
  </si>
  <si>
    <t>저장성 기반 휴머노이드 본체·핵심부품·체화지능 기술의 공동개발·실증·산업화</t>
  </si>
  <si>
    <t>W172</t>
  </si>
  <si>
    <t>C106</t>
  </si>
  <si>
    <t>AiMOGA Robotics</t>
  </si>
  <si>
    <t>奇瑞墨甲</t>
  </si>
  <si>
    <t>치뤠이 모쟈
(Qi Rui Mo Jia)</t>
  </si>
  <si>
    <t>자동차·서비스 휴머노이드</t>
  </si>
  <si>
    <t>자동차 제조·매장 서비스용 휴머노이드 본체와 체화지능·상호작용 기술</t>
  </si>
  <si>
    <t>W173</t>
  </si>
  <si>
    <t>C107</t>
  </si>
  <si>
    <t>X Square</t>
  </si>
  <si>
    <t>自变量</t>
  </si>
  <si>
    <t>즈비엔량
(Zi Bian Liang)</t>
  </si>
  <si>
    <t>체화AI·로봇 파운데이션모델</t>
  </si>
  <si>
    <t>범용 로봇을 위한 체화지능 모델과 로봇 본체·조작 기술 개발</t>
  </si>
  <si>
    <t>W174</t>
  </si>
  <si>
    <t>C108</t>
  </si>
  <si>
    <t>Vbot</t>
  </si>
  <si>
    <t>维他动力</t>
  </si>
  <si>
    <t>웨이타 둥리
(Wei Ta Dong Li)</t>
  </si>
  <si>
    <t>가정용 휴머노이드·모바일매니퓰레이터</t>
  </si>
  <si>
    <t>가정 환경에서 이동·물체조작·정리·가전 조작을 수행하는 휴머노이드 로봇 개발</t>
  </si>
  <si>
    <t>W175</t>
  </si>
  <si>
    <t>C109</t>
  </si>
  <si>
    <t>GENISOM AI</t>
  </si>
  <si>
    <t>智身科技</t>
  </si>
  <si>
    <t>즈선 커지
(Zhi Shen Ke Ji)</t>
  </si>
  <si>
    <t>체화AI·휴머노이드 제어</t>
  </si>
  <si>
    <t>휴머노이드·체화로봇용 지능 모델, 인지·계획·제어 소프트웨어 및 본체 통합</t>
  </si>
  <si>
    <t>W176</t>
  </si>
  <si>
    <t>C111</t>
  </si>
  <si>
    <t>Robbyant</t>
  </si>
  <si>
    <t>蚂蚁灵波科技</t>
  </si>
  <si>
    <t>마이링보 커지
(Ma Yi Ling Bo Ke Ji)</t>
  </si>
  <si>
    <t>체화기반모델·서비스로봇</t>
  </si>
  <si>
    <t>Ant 계열 범용 체화모델과 리테일·서비스 현장용 로봇 자율 조작 기술</t>
  </si>
  <si>
    <t>W177</t>
  </si>
  <si>
    <t>C113</t>
  </si>
  <si>
    <t>Digit Robotics</t>
  </si>
  <si>
    <t>数字华夏</t>
  </si>
  <si>
    <t>수즈 화샤
(Shu Zi Hua Xia)</t>
  </si>
  <si>
    <t>휴머노이드·디지털휴먼 로봇</t>
  </si>
  <si>
    <t>인간형 외형·상호작용 중심 로봇 본체와 안내·전시·콘텐츠형 서비스 응용</t>
  </si>
  <si>
    <t>W178</t>
  </si>
  <si>
    <t>C115</t>
  </si>
  <si>
    <t>W179</t>
  </si>
  <si>
    <t>Wuhan Dongfang Junchi Precision Manufacturing</t>
  </si>
  <si>
    <t>武汉东方骏驰精密制造有限公司</t>
  </si>
  <si>
    <t>우한 둥팡쥔츠 정밀제조
(Wu Han Dong Fang Jun Chi)</t>
  </si>
  <si>
    <t>사이클로이드·유성감속기·행성 롤러 스크류</t>
  </si>
  <si>
    <t>휴머노이드 직선관절·고급 자동화용 고정밀 감속기, 행성 롤러 스크류 및 로봇 구동부품 정밀가공·맞춤개발·양산</t>
  </si>
  <si>
    <t>W180</t>
  </si>
  <si>
    <t>C116</t>
  </si>
  <si>
    <t>CDRIA</t>
  </si>
  <si>
    <t>청두 공동 전시관</t>
  </si>
  <si>
    <t>청두 로봇산업 공동관</t>
  </si>
  <si>
    <t>청두 지역 휴머노이드·산업·서비스 로봇 기업과 부품·AI 생태계 공동전시</t>
  </si>
  <si>
    <t>협회</t>
  </si>
  <si>
    <t>C118</t>
  </si>
  <si>
    <t>HARIBIT</t>
  </si>
  <si>
    <t>理工华汇</t>
  </si>
  <si>
    <t>리궁화훼이
(Li Gong Hua Hui)</t>
  </si>
  <si>
    <t>휴머노이드·로봇 시스템 통합</t>
  </si>
  <si>
    <t>대학 기술 기반 로봇 본체·모션제어·지능형 시스템 통합 및 산업 응용</t>
  </si>
  <si>
    <t>W182</t>
  </si>
  <si>
    <t>C121</t>
  </si>
  <si>
    <t>Guanglun Zhineng</t>
  </si>
  <si>
    <t>光轮智能</t>
  </si>
  <si>
    <t>광뤈 즈넝
(Guang Lun Zhi Neng)</t>
  </si>
  <si>
    <t>체화지능 합성데이터·시뮬레이션</t>
  </si>
  <si>
    <t>로봇 학습용 합성데이터·시뮬레이션·디지털 환경과 체화AI 훈련 인프라</t>
  </si>
  <si>
    <t>W183</t>
  </si>
  <si>
    <t>C122</t>
  </si>
  <si>
    <t>XYZ</t>
  </si>
  <si>
    <t>星源智</t>
  </si>
  <si>
    <t>싱위안즈
(Xing Yuan Zhi)</t>
  </si>
  <si>
    <t>체화지능·로봇 조작 AI</t>
  </si>
  <si>
    <t>시각-언어-행동 기반 체화지능 모델과 로봇 조작·작업계획 소프트웨어</t>
  </si>
  <si>
    <t>W184</t>
  </si>
  <si>
    <t>C130</t>
  </si>
  <si>
    <t>JLCBR</t>
  </si>
  <si>
    <t>吉林创新中心</t>
  </si>
  <si>
    <t>지린 촹신중신
(Ji Lin Chuang Xin Zhong Xin)</t>
  </si>
  <si>
    <t>휴머노이드 혁신센터·산학연</t>
  </si>
  <si>
    <t>지린 지역 휴머노이드 기술개발·시험검증·기업육성 및 공동 연구성과 전시</t>
  </si>
  <si>
    <t>W185</t>
  </si>
  <si>
    <t>C131</t>
  </si>
  <si>
    <t>Sichuan Humanoid Robot Manufacturing Innovation Center</t>
  </si>
  <si>
    <t>四川具身机器人</t>
  </si>
  <si>
    <t>스촨쥐선 지치런
(Si Chuan Ju Shen Ji Qi Ren)</t>
  </si>
  <si>
    <t>체화로봇 제조·혁신센터</t>
  </si>
  <si>
    <t>쓰촨 체화지능 로봇 본체·핵심부품·제조공정 개발 및 산업화 지원</t>
  </si>
  <si>
    <t>W186</t>
  </si>
  <si>
    <t>C132</t>
  </si>
  <si>
    <t>Guangdong Innovation Center</t>
  </si>
  <si>
    <t>广东创新中心</t>
  </si>
  <si>
    <t>옌 둥 촹신중신
(Yan Dong Chuang Xin Zhong Xin)</t>
  </si>
  <si>
    <t>로봇 혁신센터·시험검증</t>
  </si>
  <si>
    <t>광둥 로봇 기술개발·시험평가·공급망 협력과 기업 공동 연구성과 전시</t>
  </si>
  <si>
    <t>W187</t>
  </si>
  <si>
    <t>C133</t>
  </si>
  <si>
    <t>HRIC</t>
  </si>
  <si>
    <t>杭州人形中心</t>
  </si>
  <si>
    <t>항조우 런싱중신
(Hang Zhou Ren Xing Zhong Xin)</t>
  </si>
  <si>
    <t>휴머노이드 혁신센터·공공 R&amp;D</t>
  </si>
  <si>
    <t>항저우 휴머노이드 본체·체화AI·핵심부품 공동개발 및 실증·산업화</t>
  </si>
  <si>
    <t>W188</t>
  </si>
  <si>
    <t>C135</t>
  </si>
  <si>
    <t>CHIRC</t>
  </si>
  <si>
    <t>成都创新中心</t>
  </si>
  <si>
    <t>청두 촹신중신
(Cheng Du Chuang Xin Zhong Xin)</t>
  </si>
  <si>
    <t>체화지능 혁신센터·산학연</t>
  </si>
  <si>
    <t>청두 체화지능 로봇 기술개발·실증·기업 협력 및 지역 산업생태계 구축</t>
  </si>
  <si>
    <t>W189</t>
  </si>
  <si>
    <t>C136</t>
  </si>
  <si>
    <t>FUTURING Robot</t>
  </si>
  <si>
    <t>未来不远</t>
  </si>
  <si>
    <t>웨이라이부위안
(Wei Lai Bu Yuan)</t>
  </si>
  <si>
    <t>서비스·체화지능 로봇</t>
  </si>
  <si>
    <t>실환경 서비스 작업용 로봇 본체와 자율이동·상호작용·조작 통합 기술</t>
  </si>
  <si>
    <t>W190</t>
  </si>
  <si>
    <t>C137</t>
  </si>
  <si>
    <t>JIANGHUAI CENTER</t>
  </si>
  <si>
    <t>江淮中心</t>
  </si>
  <si>
    <t>쟝화이 중신
(Jiang Huai Zhong Xin)</t>
  </si>
  <si>
    <t>휴머노이드 혁신센터·지역산업</t>
  </si>
  <si>
    <t>장화이 지역 휴머노이드·체화지능 핵심기술 공동개발과 시험·산업화 지원</t>
  </si>
  <si>
    <t>W191</t>
  </si>
  <si>
    <t>C138</t>
  </si>
  <si>
    <t>Westlake Robotics</t>
  </si>
  <si>
    <t>西湖机器人</t>
  </si>
  <si>
    <t>시후 지치런
(Xi Hu Ji Qi Ren)</t>
  </si>
  <si>
    <t>범용 체화지능·휴머노이드</t>
  </si>
  <si>
    <t>서호대 연구 기반 체화지능 모델·휴머노이드/모바일 조작 플랫폼 및 로봇 학습</t>
  </si>
  <si>
    <t>W192</t>
  </si>
  <si>
    <t>C139</t>
  </si>
  <si>
    <t>Shenzhen DX Intech Technology Co., Ltd.</t>
  </si>
  <si>
    <t>深圳大象安泰科技有限公司</t>
  </si>
  <si>
    <t>선전 DX 인테크
(대상안타이)</t>
  </si>
  <si>
    <t>실사형 휴머노이드 서비스로봇</t>
  </si>
  <si>
    <t>실사형 얼굴·다중모달 상호작용 기반 안내·접객·도슨트·전시용 휴머노이드</t>
  </si>
  <si>
    <t>W193</t>
  </si>
  <si>
    <t>C201</t>
  </si>
  <si>
    <t>Beijing Humanoid</t>
  </si>
  <si>
    <t>国地共建具身智能机器人创新中心</t>
  </si>
  <si>
    <t>궈디궁지엔 쥐선즈넝 지치런 촹 신중신 (Guo Di Gong Jian Ju Shen Zhi Neng Ji Qi Ren Chuang Xin Zhong Xin)</t>
  </si>
  <si>
    <t>국가급 체화지능 혁신센터</t>
  </si>
  <si>
    <t>베이징 기반 체화지능 원천기술·로봇 본체·데이터·표준·실증 플랫폼 공동개발</t>
  </si>
  <si>
    <t>혁신센터</t>
  </si>
  <si>
    <t>W194</t>
  </si>
  <si>
    <t>C203</t>
  </si>
  <si>
    <t>Humanoid Robot (Shanghai)</t>
  </si>
  <si>
    <t>国家地方共建人形机器人创新中心</t>
  </si>
  <si>
    <t>궈쟈디팡궁지엔 런싱 지치런 촹신중신 (Guo Jia Di Fang Gong Jian Ren Xing Ji Qi Ren Chuang Xin Zhong Xin)</t>
  </si>
  <si>
    <t>국가급 휴머노이드 혁신센터</t>
  </si>
  <si>
    <t>상하이 기반 휴머노이드 본체·핵심부품·운동제어·표준·시험검증 기술</t>
  </si>
  <si>
    <t>W195</t>
  </si>
  <si>
    <t>C205</t>
  </si>
  <si>
    <t>W196</t>
  </si>
  <si>
    <t>C210</t>
  </si>
  <si>
    <t>Galaxea</t>
  </si>
  <si>
    <t>星海图</t>
  </si>
  <si>
    <t>싱하이투
(Xing Hai Tu)</t>
  </si>
  <si>
    <t>휴머노이드·모바일 매니퓰레이터와 체화지능 학습·조작 플랫폼 개발</t>
  </si>
  <si>
    <t>C217</t>
  </si>
  <si>
    <t>Mininglamp Technology</t>
  </si>
  <si>
    <t>明略科技</t>
  </si>
  <si>
    <t>밍뤠 커지
(Ming Lue Ke Ji)</t>
  </si>
  <si>
    <t>AI 데이터·엔터프라이즈 지능</t>
  </si>
  <si>
    <t>기업용 AI·데이터 분석 및 산업 지능화 솔루션 제공</t>
  </si>
  <si>
    <t>W198</t>
  </si>
  <si>
    <t>C220</t>
  </si>
  <si>
    <t>DEEPRobotics</t>
  </si>
  <si>
    <t>云深处科技</t>
  </si>
  <si>
    <t>윈선추 커지
(Yun Shen Chu Ke Ji)</t>
  </si>
  <si>
    <t>사족보행·산업점검 로봇</t>
  </si>
  <si>
    <t>산업 순찰·점검용 사족보행 로봇과 휴머노이드/특수 로봇 개발</t>
  </si>
  <si>
    <t>W199</t>
  </si>
  <si>
    <t>C225</t>
  </si>
  <si>
    <t>Anyverse Dynamics</t>
  </si>
  <si>
    <t>无界动力</t>
  </si>
  <si>
    <t>우지에 둥리
(Wu Jie Dong Li)</t>
  </si>
  <si>
    <t>C226</t>
  </si>
  <si>
    <t>China Science Pioneer</t>
  </si>
  <si>
    <t>中科开创</t>
  </si>
  <si>
    <t>중커 카이촹
(Zhong Ke Kai Chuang)</t>
  </si>
  <si>
    <t>산업·특수로봇 시스템</t>
  </si>
  <si>
    <t>산업 현장 자동화와 특수 환경 작업용 로봇 본체·제어·시스템 통합 기술</t>
  </si>
  <si>
    <t>W201</t>
  </si>
  <si>
    <t>C228</t>
  </si>
  <si>
    <t>iFLYTEK Co., Ltd.</t>
  </si>
  <si>
    <t>科大讯飞</t>
  </si>
  <si>
    <t>커다숸페이
(Ke Da Xun Fei)</t>
  </si>
  <si>
    <t>로봇 AI·음성/멀티모달 소프트웨어</t>
  </si>
  <si>
    <t>음성·언어 대모델과 멀티모달 AI를 로봇의 인지·대화·의사결정에 적용</t>
  </si>
  <si>
    <t>W202</t>
  </si>
  <si>
    <t>C229</t>
  </si>
  <si>
    <t>Fourier</t>
  </si>
  <si>
    <t>傅利叶</t>
  </si>
  <si>
    <t>푸리시에
(Fu Li Xie)</t>
  </si>
  <si>
    <t>휴머노이드·재활로봇</t>
  </si>
  <si>
    <t>휴머노이드 로봇과 재활·의료 로봇 및 관절 구동 기술 개발</t>
  </si>
  <si>
    <t>W203</t>
  </si>
  <si>
    <t>C231</t>
  </si>
  <si>
    <t>ZhiCheng AI</t>
  </si>
  <si>
    <t>智澄AI</t>
  </si>
  <si>
    <t>즈청 AI
(Zhi Cheng AI)</t>
  </si>
  <si>
    <t>체화AI·VLA 로봇 소프트웨어</t>
  </si>
  <si>
    <t>시각-언어-행동 모델과 로봇 조작·작업계획·자율 실행용 체화지능 소프트웨어</t>
  </si>
  <si>
    <t>W204</t>
  </si>
  <si>
    <t>C233</t>
  </si>
  <si>
    <t>SEER Robotics</t>
  </si>
  <si>
    <t>仙工智能</t>
  </si>
  <si>
    <t>시엔궁 즈넝
(Xian Gong Zhi Neng)</t>
  </si>
  <si>
    <t>AMR·물류자동화 제어</t>
  </si>
  <si>
    <t>AMR 제어기, 산업용 모바일 로봇과 물류 자동화 솔루션 제공</t>
  </si>
  <si>
    <t>W205</t>
  </si>
  <si>
    <t>C301</t>
  </si>
  <si>
    <t>SynapX</t>
  </si>
  <si>
    <t>章鱼动力</t>
  </si>
  <si>
    <t>장위 둥리
(Zhang Yu Dong Li)</t>
  </si>
  <si>
    <t>W206</t>
  </si>
  <si>
    <t>C303</t>
  </si>
  <si>
    <t>DexForce</t>
  </si>
  <si>
    <t>跨维智能</t>
  </si>
  <si>
    <t>콰웨이 즈넝
(Kua Wei Zhi Neng)</t>
  </si>
  <si>
    <t>체화AI·로봇 소프트웨어</t>
  </si>
  <si>
    <t>로봇 조작 학습·시뮬레이션·데이터 기반 체화지능 소프트웨어 개발</t>
  </si>
  <si>
    <t>W207</t>
  </si>
  <si>
    <t>C305</t>
  </si>
  <si>
    <t>Lumos Robotics</t>
  </si>
  <si>
    <t>鹿明机器人</t>
  </si>
  <si>
    <t>루밍 지치런
(Lu Ming Ji Qi Ren)</t>
  </si>
  <si>
    <t>휴머노이드·모바일 조작로봇</t>
  </si>
  <si>
    <t>자율이동과 로봇팔 조작을 결합한 체화지능 로봇 본체·제어 플랫폼</t>
  </si>
  <si>
    <t>W208</t>
  </si>
  <si>
    <t>C306</t>
  </si>
  <si>
    <t>AI² ROBOTICS</t>
  </si>
  <si>
    <t>智平方</t>
  </si>
  <si>
    <t>즈핑팡
(Zhi Ping Fang)</t>
  </si>
  <si>
    <t>범용 체화지능·VLA·로봇본체</t>
  </si>
  <si>
    <t>범용 체화모델과 이동·조작 로봇 하드웨어를 결합한 실제 작업 자동화 플랫폼</t>
  </si>
  <si>
    <t>W209</t>
  </si>
  <si>
    <t>C310</t>
  </si>
  <si>
    <t>BIGAI</t>
  </si>
  <si>
    <t>通研院</t>
  </si>
  <si>
    <t>퉁옌위안
(Tong Yan Yuan)</t>
  </si>
  <si>
    <t>일반인공지능·로봇 연구기관</t>
  </si>
  <si>
    <t>범용 AI·체화지능·로봇학습·다중에이전트 분야 원천연구와 기술이전 성과</t>
  </si>
  <si>
    <t>연구기관/연구원</t>
  </si>
  <si>
    <t>W210</t>
  </si>
  <si>
    <t>C313</t>
  </si>
  <si>
    <t>Simple AI</t>
  </si>
  <si>
    <t>深朴智能</t>
  </si>
  <si>
    <t>선포 즈넝
(Shen Po Zhi Neng)</t>
  </si>
  <si>
    <t>로봇 파운데이션모델·체화AI</t>
  </si>
  <si>
    <t>로봇 인지·계획·조작을 위한 대규모 모델과 데이터·학습·추론 소프트웨어</t>
  </si>
  <si>
    <t>W211</t>
  </si>
  <si>
    <t>C315</t>
  </si>
  <si>
    <t>CASBOT</t>
  </si>
  <si>
    <t>中科慧灵</t>
  </si>
  <si>
    <t>중커훼이링
(Zhong Ke Hui Ling)</t>
  </si>
  <si>
    <t>휴머노이드·휠형 양팔로봇·로봇손</t>
  </si>
  <si>
    <t>범용 휴머노이드와 휠형 양팔 플랫폼, 다지 로봇손·자율 조작 기술</t>
  </si>
  <si>
    <t>W212</t>
  </si>
  <si>
    <t>C320</t>
  </si>
  <si>
    <t>mirrorme</t>
  </si>
  <si>
    <t>镜识科技</t>
  </si>
  <si>
    <t>징스커지
(Jing Shi Ke Ji)</t>
  </si>
  <si>
    <t>휴머노이드·생체모사 로봇</t>
  </si>
  <si>
    <t>인간 동작·외형 모사와 상호작용 중심 휴머노이드 본체·제어 기술</t>
  </si>
  <si>
    <t>W213</t>
  </si>
  <si>
    <t>C323</t>
  </si>
  <si>
    <t>MagicLab</t>
  </si>
  <si>
    <t>魔法原子</t>
  </si>
  <si>
    <t>모파위안즈
(Mo Fa Yuan Zi)</t>
  </si>
  <si>
    <t>휴머노이드·사족보행 로봇과 산업/서비스 적용형 체화지능 플랫폼 개발</t>
  </si>
  <si>
    <t>C325</t>
  </si>
  <si>
    <t>VLUN</t>
  </si>
  <si>
    <t>慧仓科技</t>
  </si>
  <si>
    <t>후이창 커지
(Huicang Keji)</t>
  </si>
  <si>
    <t>창고물류 로봇·지능형 보관</t>
  </si>
  <si>
    <t>창고·물류센터용 자동 보관·피킹·이송 로봇과 지능형 창고 운영 시스템</t>
  </si>
  <si>
    <t>W215</t>
  </si>
  <si>
    <t>C326</t>
  </si>
  <si>
    <t>GigaAI</t>
  </si>
  <si>
    <t>极佳视界</t>
  </si>
  <si>
    <t>지쟈스지에
(Ji Jia Shi Jie)</t>
  </si>
  <si>
    <t>월드모델·로봇 비전·체화AI</t>
  </si>
  <si>
    <t>3D/시각 기반 월드모델과 로봇 인지·예측·행동계획용 체화지능 소프트웨어</t>
  </si>
  <si>
    <t>W216</t>
  </si>
  <si>
    <t>D1</t>
  </si>
  <si>
    <t>D101</t>
  </si>
  <si>
    <t>Cylingo Robotics</t>
  </si>
  <si>
    <t>心言机器人</t>
  </si>
  <si>
    <t>신옌지치런
(Xin Yan Ji Qi Ren)</t>
  </si>
  <si>
    <t>로봇·체화AI</t>
  </si>
  <si>
    <t>지능형 로봇 본체와 체화지능 관련 기술을 개발하는 로봇 기업</t>
  </si>
  <si>
    <t>W217</t>
  </si>
  <si>
    <t>D103</t>
  </si>
  <si>
    <t>Yunmu Intelligent Manufacturing</t>
  </si>
  <si>
    <t>云幕智造</t>
  </si>
  <si>
    <t>윈무즈자오
(Yun Mu Zhi Zao)</t>
  </si>
  <si>
    <t>로봇 정밀제조·본체 통합</t>
  </si>
  <si>
    <t>휴머노이드·서비스로봇의 구조·전장·조립 및 제조공정·시스템 통합 기술</t>
  </si>
  <si>
    <t>W218</t>
  </si>
  <si>
    <t>D105</t>
  </si>
  <si>
    <t>Sinomags</t>
  </si>
  <si>
    <t>希磁科技</t>
  </si>
  <si>
    <t>시츠커지
(Xi Ci Ke Ji)</t>
  </si>
  <si>
    <t>자기센서·자성부품</t>
  </si>
  <si>
    <t>자기 센싱·자성부품 등 로봇 모터/관절에 쓰이는 핵심 부품 개발·공급</t>
  </si>
  <si>
    <t>W219</t>
  </si>
  <si>
    <t>D107</t>
  </si>
  <si>
    <t>Zwinsoft</t>
  </si>
  <si>
    <t>智易时代</t>
  </si>
  <si>
    <t>즈이스다이
(Zhi Yi Shi Dai)</t>
  </si>
  <si>
    <t>환경·순찰 모니터링 로봇</t>
  </si>
  <si>
    <t>환경계측·스마트시티 기반 이동형 모니터링, 순찰·데이터 수집 로봇 응용</t>
  </si>
  <si>
    <t>W220</t>
  </si>
  <si>
    <t>D108</t>
  </si>
  <si>
    <t>Fulling Motor</t>
  </si>
  <si>
    <t>富兴电机</t>
  </si>
  <si>
    <t>푸싱 디엔지
(Fu Xing Dian Ji)</t>
  </si>
  <si>
    <t>스테퍼·BLDC 등 정밀 모터와 모션 구동부품 공급</t>
  </si>
  <si>
    <t>W221</t>
  </si>
  <si>
    <t>D109</t>
  </si>
  <si>
    <t>쟈수진화
(Jia Su Jin Hua)</t>
  </si>
  <si>
    <t>W222</t>
  </si>
  <si>
    <t>D112</t>
  </si>
  <si>
    <t>Reconova</t>
  </si>
  <si>
    <t>瑞为技术</t>
  </si>
  <si>
    <t>뤠이웨이지주
(Rui Wei Ji Zhu)</t>
  </si>
  <si>
    <t>AI 머신비전·영상인지</t>
  </si>
  <si>
    <t>컴퓨터비전·AI 인식 기술과 스마트 디바이스/로봇 인지 솔루션 제공</t>
  </si>
  <si>
    <t>W223</t>
  </si>
  <si>
    <t>D113</t>
  </si>
  <si>
    <t>Namaste</t>
  </si>
  <si>
    <t>合十思维</t>
  </si>
  <si>
    <t>허스스웨이
(He Shi Si Wei)</t>
  </si>
  <si>
    <t>로봇 멀티모달 AI·상호작용</t>
  </si>
  <si>
    <t>대화·비전·행동을 결합한 멀티모달 로봇 지능과 사람 중심 상호작용 소프트웨어</t>
  </si>
  <si>
    <t>W224</t>
  </si>
  <si>
    <t>D201</t>
  </si>
  <si>
    <t>MUKA</t>
  </si>
  <si>
    <t>莫刻机器人</t>
  </si>
  <si>
    <t>모커지치런
(Mo Ke Ji Qi Ren)</t>
  </si>
  <si>
    <t>서비스·교육용 로봇 플랫폼</t>
  </si>
  <si>
    <t>서비스·교육·전시용 이동 로봇과 자율주행·상호작용·응용 소프트웨어</t>
  </si>
  <si>
    <t>W225</t>
  </si>
  <si>
    <t>D203</t>
  </si>
  <si>
    <t>EIR</t>
  </si>
  <si>
    <t>四川具身科技</t>
  </si>
  <si>
    <t>스촨쥐선커지
(Si Chuan Ju Shen Ke Ji)</t>
  </si>
  <si>
    <t>체화지능 로봇·산업화 플랫폼</t>
  </si>
  <si>
    <t>쓰촨 기반 체화지능 로봇 본체·AI·핵심부품 및 응용 실증·산업화</t>
  </si>
  <si>
    <t>W226</t>
  </si>
  <si>
    <t>D204</t>
  </si>
  <si>
    <t>Singularity</t>
  </si>
  <si>
    <t>源奇点</t>
  </si>
  <si>
    <t>위안치디엔
(Yuan Qi Dian)</t>
  </si>
  <si>
    <t>휴머노이드·관절</t>
  </si>
  <si>
    <t>휴머노이드·외골격·로봇 관절 모듈 등 체화지능 하드웨어 개발</t>
  </si>
  <si>
    <t>W227</t>
  </si>
  <si>
    <t>D205</t>
  </si>
  <si>
    <t>Luwu</t>
  </si>
  <si>
    <t>陆吾智能</t>
  </si>
  <si>
    <t>루우즈넝
(Lu Wu Zhi Neng)</t>
  </si>
  <si>
    <t>휴머노이드·체화지능 로봇</t>
  </si>
  <si>
    <t>휴머노이드/이동조작 로봇 본체와 인지·모션·자율작업 통합 기술</t>
  </si>
  <si>
    <t>W228</t>
  </si>
  <si>
    <t>D206</t>
  </si>
  <si>
    <t>TOPSKY</t>
  </si>
  <si>
    <t>凌天</t>
  </si>
  <si>
    <t>링티엔
(Ling Tian)</t>
  </si>
  <si>
    <t>소방·안전 특수로봇</t>
  </si>
  <si>
    <t>소방·재난·안전·위험환경 대응용 특수 로봇 및 장비 제공</t>
  </si>
  <si>
    <t>W229</t>
  </si>
  <si>
    <t>D207</t>
  </si>
  <si>
    <t>Jichuang Robot</t>
  </si>
  <si>
    <t>极创机器人</t>
  </si>
  <si>
    <t>지촹 지치런
(Ji Chuang Ji Qi Ren)</t>
  </si>
  <si>
    <t>산업·서비스 로봇 시스템</t>
  </si>
  <si>
    <t>산업 자동화·서비스 현장용 로봇 본체와 자율제어·시스템 통합 솔루션</t>
  </si>
  <si>
    <t>W230</t>
  </si>
  <si>
    <t>D301</t>
  </si>
  <si>
    <t>Alpha Robotics</t>
  </si>
  <si>
    <t>穿山甲机器人</t>
  </si>
  <si>
    <t>촨산쟈 지치런
(Chuan Shan Jia Ji Qi Ren)</t>
  </si>
  <si>
    <t>안내·배송·서비스 등 상업용 서비스로봇 제품 전개</t>
  </si>
  <si>
    <t>W231</t>
  </si>
  <si>
    <t>D302</t>
  </si>
  <si>
    <t>UNIUBI AI</t>
  </si>
  <si>
    <t>宇泛智能</t>
  </si>
  <si>
    <t>위판 즈넝
(Yu Fan Zhi Neng)</t>
  </si>
  <si>
    <t>AI비전·생체인식</t>
  </si>
  <si>
    <t>얼굴·행동 인식 등 AI 비전과 스마트 공간 솔루션 제공</t>
  </si>
  <si>
    <t>W232</t>
  </si>
  <si>
    <t>D303</t>
  </si>
  <si>
    <t>HokMind</t>
  </si>
  <si>
    <t>泓柯智行</t>
  </si>
  <si>
    <t>훙커 즈싱
(Hong Ke Zhi Xing)</t>
  </si>
  <si>
    <t>자율이동·로봇 내비게이션</t>
  </si>
  <si>
    <t>모바일로봇의 위치결정·경로계획·주행제어와 산업·서비스 현장 자율이동 기술</t>
  </si>
  <si>
    <t>W233</t>
  </si>
  <si>
    <t>D304</t>
  </si>
  <si>
    <t>Elephant Robotics</t>
  </si>
  <si>
    <t>大象机器人</t>
  </si>
  <si>
    <t>다샹 지치런
(Da Xiang Ji Qi Ren)</t>
  </si>
  <si>
    <t>데스크톱 협동·교육로봇</t>
  </si>
  <si>
    <t>데스크톱 로봇암·협동로봇과 교육·개발자용 로봇 플랫폼 제공</t>
  </si>
  <si>
    <t>W234</t>
  </si>
  <si>
    <t>D305</t>
  </si>
  <si>
    <t>High Torque Robotics</t>
  </si>
  <si>
    <t>高擎</t>
  </si>
  <si>
    <t>가오칭
(Gao Qing)</t>
  </si>
  <si>
    <t>고토크 관절·휴머노이드 구동</t>
  </si>
  <si>
    <t>고토크 로봇 관절과 전동 액추에이터, 휴머노이드 본체용 고출력 모션 하드웨어</t>
  </si>
  <si>
    <t>W235</t>
  </si>
  <si>
    <t>D306</t>
  </si>
  <si>
    <t>AgileX Robotics</t>
  </si>
  <si>
    <t>松灵</t>
  </si>
  <si>
    <t>숭링
(Song Ling)</t>
  </si>
  <si>
    <t>UGV·모바일로봇 플랫폼</t>
  </si>
  <si>
    <t>UGV·AMR 기반 이동로봇 섀시와 자율주행 개발 플랫폼 제공</t>
  </si>
  <si>
    <t>W236</t>
  </si>
  <si>
    <t>D307</t>
  </si>
  <si>
    <t>RobotAnno</t>
  </si>
  <si>
    <t>安诺机器人</t>
  </si>
  <si>
    <t>안눠 지치런
(An Nuo Ji Qi Ren)</t>
  </si>
  <si>
    <t>데스크톱 로봇암·무인리테일</t>
  </si>
  <si>
    <t>로봇암·교육용 로봇과 자동화 솔루션 제공</t>
  </si>
  <si>
    <t>W237</t>
  </si>
  <si>
    <t>D308</t>
  </si>
  <si>
    <t>Aitu Technology</t>
  </si>
  <si>
    <t>艾图科技</t>
  </si>
  <si>
    <t>아이투 커지
(Ai Tu Ke Ji)</t>
  </si>
  <si>
    <t>AI비전·로봇 인지 소프트웨어</t>
  </si>
  <si>
    <t>머신비전·영상 인식·멀티모달 AI 기반 로봇 환경인지·검사·상호작용 기술</t>
  </si>
  <si>
    <t>W238</t>
  </si>
  <si>
    <t>D309</t>
  </si>
  <si>
    <t>Astrall Dynamics</t>
  </si>
  <si>
    <t>璇玑动力</t>
  </si>
  <si>
    <t>솬지 둥리
(Xuan Ji Dong Li)</t>
  </si>
  <si>
    <t>W239</t>
  </si>
  <si>
    <t>D310</t>
  </si>
  <si>
    <t>CloudNest Robotics</t>
  </si>
  <si>
    <t>云栖处机器人</t>
  </si>
  <si>
    <t>윈치추 지치런
(Yun Qi Chu Ji Qi Ren)</t>
  </si>
  <si>
    <t>서비스·모바일 로봇</t>
  </si>
  <si>
    <t>실내 서비스·안내·운반용 모바일로봇과 자율주행·상호작용 통합 기술</t>
  </si>
  <si>
    <t>W240</t>
  </si>
  <si>
    <t>D311</t>
  </si>
  <si>
    <t>YUHESEN</t>
  </si>
  <si>
    <t>煜禾森科技</t>
  </si>
  <si>
    <t>위허선 커지
(Yu He Sen Ke Ji)</t>
  </si>
  <si>
    <t>로봇 구동·모션 핵심부품</t>
  </si>
  <si>
    <t>휴머노이드·자동화용 모터·관절·정밀 전동부품 및 구동 시스템</t>
  </si>
  <si>
    <t>W241</t>
  </si>
  <si>
    <t>D401</t>
  </si>
  <si>
    <t>Kunshan Humanoid Robot Innovation Center</t>
  </si>
  <si>
    <t>昆山机器人人形创新中心</t>
  </si>
  <si>
    <t>퀀산 지치런 런싱촹신 중신
(Kun Shan Ji Qi Ren Ren Xing Chuang Xin Zhong Xin)</t>
  </si>
  <si>
    <t>휴머노이드 혁신센터·시험개발</t>
  </si>
  <si>
    <t>쿤산 지역 휴머노이드 본체·핵심부품 공동개발, 시험검증·기업지원 플랫폼</t>
  </si>
  <si>
    <t>W242</t>
  </si>
  <si>
    <t>D402</t>
  </si>
  <si>
    <t>super-smart robotic</t>
  </si>
  <si>
    <t>越甲灵动</t>
  </si>
  <si>
    <t>웨쟈 링둥
(Yue Jia Ling Dong)</t>
  </si>
  <si>
    <t>휴머노이드 본체와 전신 모션제어·자율조작·체화AI 기술</t>
  </si>
  <si>
    <t>W243</t>
  </si>
  <si>
    <t>D403</t>
  </si>
  <si>
    <t>ZOOMLION</t>
  </si>
  <si>
    <t>中联重科</t>
  </si>
  <si>
    <t>중리엔 중커
(Zhong Lian Zhong Ke)</t>
  </si>
  <si>
    <t>건설·중장비 자동화</t>
  </si>
  <si>
    <t>건설·산업 장비와 지능형 제조·로봇 자동화 기술 전개</t>
  </si>
  <si>
    <t>W244</t>
  </si>
  <si>
    <t>D404</t>
  </si>
  <si>
    <t>Changingtek Robotics</t>
  </si>
  <si>
    <t>知行机器人</t>
  </si>
  <si>
    <t>즈싱 지치런
(Zhi Xing Ji Qi Ren)</t>
  </si>
  <si>
    <t>산업용 로봇·지능형 조작</t>
  </si>
  <si>
    <t>산업 현장용 로봇 본체·로봇팔과 비전·힘제어 기반 지능형 작업 자동화</t>
  </si>
  <si>
    <t>W245</t>
  </si>
  <si>
    <t>D405</t>
  </si>
  <si>
    <t>Raybot Smartworks</t>
  </si>
  <si>
    <t>睿柏智悦</t>
  </si>
  <si>
    <t>뤠이보 즈웨
(Rui Bo Zhi Yue)</t>
  </si>
  <si>
    <t>서비스·상호작용 로봇</t>
  </si>
  <si>
    <t>상업·문화·서비스 공간용 지능형 로봇과 자율이동·대화·콘텐츠 상호작용</t>
  </si>
  <si>
    <t>W246</t>
  </si>
  <si>
    <t>D406</t>
  </si>
  <si>
    <t>Mosrac</t>
  </si>
  <si>
    <t>强和电机</t>
  </si>
  <si>
    <t>챵허 디엔지
(Qiang He Dian Ji)</t>
  </si>
  <si>
    <t>W247</t>
  </si>
  <si>
    <t>D407</t>
  </si>
  <si>
    <t>LONGXI BEARING</t>
  </si>
  <si>
    <t>龙溪股份</t>
  </si>
  <si>
    <t>룽시 구펀
(Long Xi Gu Fen)</t>
  </si>
  <si>
    <t>로봇 관절·정밀베어링</t>
  </si>
  <si>
    <t>로봇 관절과 산업기계용 베어링·정밀 기계부품 공급</t>
  </si>
  <si>
    <t>W248</t>
  </si>
  <si>
    <t>D409</t>
  </si>
  <si>
    <t>NEWSTART</t>
  </si>
  <si>
    <t>纽氏达特</t>
  </si>
  <si>
    <t>뉴스다터
(Niu Shi Da Te)</t>
  </si>
  <si>
    <t>유성·정밀감속기</t>
  </si>
  <si>
    <t>로봇 관절용 정밀 감속기와 기어 구동부품 개발</t>
  </si>
  <si>
    <t>W249</t>
  </si>
  <si>
    <t>D410</t>
  </si>
  <si>
    <t>Juli Automation</t>
  </si>
  <si>
    <t>巨力自动化</t>
  </si>
  <si>
    <t>쥐리 즈둥화
(Ju Li Zi Dong Hua)</t>
  </si>
  <si>
    <t>산업자동화·로봇 시스템통합</t>
  </si>
  <si>
    <t>산업 자동화·전기구동·제어 관련 장비와 솔루션 제공</t>
  </si>
  <si>
    <t>W250</t>
  </si>
  <si>
    <t>D413</t>
  </si>
  <si>
    <t>Liangzhi</t>
  </si>
  <si>
    <t>良质关节</t>
  </si>
  <si>
    <t>량즈 관지에
(Liang Zhi Guan Jie)</t>
  </si>
  <si>
    <t>모터·감속기·센서·드라이브 통합형 로봇 관절과 고정밀 모션제어</t>
  </si>
  <si>
    <t>D501</t>
  </si>
  <si>
    <t>Newgear</t>
  </si>
  <si>
    <t>纽格尔</t>
  </si>
  <si>
    <t>뉴거얼
(Niu Ge Er)</t>
  </si>
  <si>
    <t>정밀기어·감속기</t>
  </si>
  <si>
    <t>로봇·자동화용 정밀 기어와 감속기 부품 공급</t>
  </si>
  <si>
    <t>W252</t>
  </si>
  <si>
    <t>D502</t>
  </si>
  <si>
    <t>时空张量</t>
  </si>
  <si>
    <t>스쿵장량
(Shi Kong Zhang Liang)</t>
  </si>
  <si>
    <t>공간지능·로봇 시뮬레이션</t>
  </si>
  <si>
    <t>공간 표현·디지털 환경·로봇 학습용 시뮬레이션과 체화지능 데이터 기술</t>
  </si>
  <si>
    <t>W253</t>
  </si>
  <si>
    <t>D504</t>
  </si>
  <si>
    <t>Neodra Dynamics</t>
  </si>
  <si>
    <t>清卓动力</t>
  </si>
  <si>
    <t>칭줘 둥리
(Qing Zhuo Dong Li)</t>
  </si>
  <si>
    <t>로봇 관절용 모터·액추에이터 및 동력 모듈 개발</t>
  </si>
  <si>
    <t>D505</t>
  </si>
  <si>
    <t>DAMIAO</t>
  </si>
  <si>
    <t>达妙科技</t>
  </si>
  <si>
    <t>다먀오 커지
(Da Miao Ke Ji)</t>
  </si>
  <si>
    <t>로봇용 모터·서보·일체형 관절 모듈 개발</t>
  </si>
  <si>
    <t>W255</t>
  </si>
  <si>
    <t>D506</t>
  </si>
  <si>
    <t>FiSensor</t>
  </si>
  <si>
    <t>晶智感</t>
  </si>
  <si>
    <t>징즈간
(Jing Zhi Gan)</t>
  </si>
  <si>
    <t>로봇용 힘·촉각·위치 등 정밀 센싱 솔루션 개발</t>
  </si>
  <si>
    <t>W256</t>
  </si>
  <si>
    <t>D507</t>
  </si>
  <si>
    <t>Tachin-Tech</t>
  </si>
  <si>
    <t>途见科技</t>
  </si>
  <si>
    <t>투지엔 커지
(Tu Jian Ke Ji)</t>
  </si>
  <si>
    <t>로봇 비전·공간인지</t>
  </si>
  <si>
    <t>로봇용 비전 센싱·3D 공간인지·환경이해 및 자율작업 소프트웨어</t>
  </si>
  <si>
    <t>W257</t>
  </si>
  <si>
    <t>D508</t>
  </si>
  <si>
    <t>Leedsence</t>
  </si>
  <si>
    <t>力晟传感</t>
  </si>
  <si>
    <t>리청 촨간
(Li Cheng Chuan Gan)</t>
  </si>
  <si>
    <t>로봇·자동화용 정밀 센서와 피드백 솔루션 제공</t>
  </si>
  <si>
    <t>★★</t>
  </si>
  <si>
    <t>★★★</t>
  </si>
  <si>
    <t>★</t>
  </si>
  <si>
    <t>란디엔 추쿵
(Lan Dian Chu Kong)</t>
  </si>
  <si>
    <t>루이잉 촨간
(Rui Ying Chuan Gan)</t>
  </si>
  <si>
    <t>☆</t>
  </si>
  <si>
    <t>Jitai Intelligent</t>
  </si>
  <si>
    <t>北京中安吉泰科技有限公司</t>
  </si>
  <si>
    <t>지타이 인텔리전트
(Jitai Intelligent)</t>
  </si>
  <si>
    <t>에너지 설비 고공·고위험 스마트 유지보수 로봇</t>
  </si>
  <si>
    <t>발전소 보일러·풍력 등 대형 에너지 설비용 벽면흡착 검사·청소 로봇과 지능형 운영·유지보수 솔루션</t>
  </si>
  <si>
    <t>Hubei Guanggu Shengchuang Technology</t>
  </si>
  <si>
    <t>湖北光谷盛创科技有限公司</t>
  </si>
  <si>
    <t>후베이 광구 성촹 테크놀로지
(Hu Bei Guang Gu Sheng Chuang)</t>
  </si>
  <si>
    <t>휴머노이드·검사·소방·청소 로봇</t>
  </si>
  <si>
    <t>휴머노이드·검사·소방·청소 로봇의 연구·제조·판매와 전주기 서비스 지원</t>
  </si>
  <si>
    <t>W179와 동일 부스(C115)</t>
  </si>
  <si>
    <t>W178과 동일 부스(C115)</t>
  </si>
  <si>
    <t>W259</t>
  </si>
  <si>
    <t>W260</t>
  </si>
  <si>
    <t>W261</t>
  </si>
  <si>
    <t>W262</t>
  </si>
  <si>
    <t>W263</t>
  </si>
  <si>
    <t>W264</t>
  </si>
  <si>
    <t>롤러스크류 장착 휴머노이드 개발</t>
    <phoneticPr fontId="3" type="noConversion"/>
  </si>
  <si>
    <t>-</t>
    <phoneticPr fontId="3" type="noConversion"/>
  </si>
  <si>
    <t>8/20(목)</t>
  </si>
  <si>
    <t>8/21(금)</t>
  </si>
  <si>
    <t>선형 액추에이터용 유성 롤러스크류·베어링, 관절·로봇손 정밀 구동부품</t>
    <phoneticPr fontId="3" type="noConversion"/>
  </si>
  <si>
    <t>CCTY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</si>
</sst>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Carlito"/>
    </font>
    <font>
      <sz val="11"/>
      <name val="Carlito"/>
    </font>
    <font>
      <sz val="11"/>
      <color rgb="FF006100"/>
      <name val="Calibri"/>
      <family val="2"/>
    </font>
    <font>
      <sz val="8"/>
      <name val="돋움"/>
      <family val="3"/>
      <charset val="129"/>
    </font>
    <font>
      <b/>
      <sz val="16"/>
      <color rgb="FFFFFFFF"/>
      <name val="맑은 고딕"/>
      <family val="3"/>
      <charset val="129"/>
    </font>
    <font>
      <sz val="11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0"/>
      <name val="Carlito"/>
    </font>
    <font>
      <sz val="11"/>
      <color theme="0"/>
      <name val="Carlito"/>
    </font>
    <font>
      <sz val="11"/>
      <color rgb="FF0563C1"/>
      <name val="Carlito"/>
    </font>
    <font>
      <sz val="10"/>
      <color rgb="FF0563C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3A93"/>
      </patternFill>
    </fill>
    <fill>
      <patternFill patternType="solid">
        <fgColor rgb="FFF47B20"/>
      </patternFill>
    </fill>
    <fill>
      <patternFill patternType="solid">
        <fgColor rgb="FFC6EFC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4" borderId="0" applyNumberFormat="0" applyFont="0" applyBorder="0" applyAlignment="0" applyProtection="0">
      <alignment vertical="center"/>
    </xf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4" fillId="2" borderId="0" xfId="1" applyNumberFormat="1" applyFont="1" applyFill="1" applyBorder="1" applyAlignment="1">
      <alignment horizontal="center" vertical="center"/>
    </xf>
    <xf numFmtId="0" fontId="4" fillId="2" borderId="8" xfId="1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3" xfId="1" applyNumberFormat="1" applyFont="1" applyFill="1" applyBorder="1" applyAlignment="1">
      <alignment horizontal="center" vertical="center" wrapText="1"/>
    </xf>
    <xf numFmtId="0" fontId="7" fillId="0" borderId="4" xfId="1" applyNumberFormat="1" applyFont="1" applyFill="1" applyBorder="1" applyAlignment="1">
      <alignment horizontal="center" vertical="center" wrapText="1"/>
    </xf>
    <xf numFmtId="0" fontId="7" fillId="0" borderId="8" xfId="1" applyNumberFormat="1" applyFont="1" applyFill="1" applyBorder="1" applyAlignment="1">
      <alignment horizontal="center" vertical="center" wrapText="1"/>
    </xf>
    <xf numFmtId="0" fontId="7" fillId="0" borderId="0" xfId="1" applyNumberFormat="1" applyFont="1" applyFill="1" applyBorder="1" applyAlignment="1">
      <alignment horizontal="center" vertical="center" wrapText="1"/>
    </xf>
    <xf numFmtId="0" fontId="7" fillId="0" borderId="5" xfId="1" applyNumberFormat="1" applyFont="1" applyFill="1" applyBorder="1" applyAlignment="1">
      <alignment horizontal="center" vertical="center" wrapText="1"/>
    </xf>
    <xf numFmtId="0" fontId="7" fillId="0" borderId="6" xfId="1" applyNumberFormat="1" applyFont="1" applyFill="1" applyBorder="1" applyAlignment="1">
      <alignment horizontal="center" vertical="center" wrapText="1"/>
    </xf>
    <xf numFmtId="0" fontId="7" fillId="0" borderId="7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 wrapText="1"/>
    </xf>
    <xf numFmtId="0" fontId="4" fillId="2" borderId="0" xfId="1" applyNumberFormat="1" applyFont="1" applyFill="1" applyBorder="1" applyAlignment="1">
      <alignment horizontal="left" vertical="center"/>
    </xf>
    <xf numFmtId="0" fontId="6" fillId="3" borderId="1" xfId="1" applyNumberFormat="1" applyFont="1" applyFill="1" applyBorder="1" applyAlignment="1">
      <alignment horizontal="left" vertical="center" wrapText="1"/>
    </xf>
    <xf numFmtId="0" fontId="6" fillId="3" borderId="2" xfId="1" applyNumberFormat="1" applyFont="1" applyFill="1" applyBorder="1" applyAlignment="1">
      <alignment horizontal="left" vertical="center" wrapText="1"/>
    </xf>
    <xf numFmtId="0" fontId="6" fillId="3" borderId="8" xfId="1" applyNumberFormat="1" applyFont="1" applyFill="1" applyBorder="1" applyAlignment="1">
      <alignment horizontal="left" vertical="center" wrapText="1"/>
    </xf>
    <xf numFmtId="0" fontId="7" fillId="0" borderId="8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9" fillId="2" borderId="0" xfId="0" applyNumberFormat="1" applyFont="1" applyFill="1" applyBorder="1" applyAlignment="1">
      <alignment horizontal="right" vertical="center"/>
    </xf>
    <xf numFmtId="0" fontId="9" fillId="2" borderId="0" xfId="3" applyNumberFormat="1" applyFont="1" applyFill="1" applyBorder="1" applyAlignment="1">
      <alignment horizontal="center" vertical="center" shrinkToFit="1"/>
    </xf>
    <xf numFmtId="0" fontId="6" fillId="3" borderId="8" xfId="1" applyNumberFormat="1" applyFont="1" applyFill="1" applyBorder="1" applyAlignment="1">
      <alignment horizontal="left" vertical="center" shrinkToFit="1"/>
    </xf>
    <xf numFmtId="0" fontId="10" fillId="0" borderId="0" xfId="0" applyNumberFormat="1" applyFont="1" applyFill="1" applyBorder="1" applyAlignment="1">
      <alignment horizontal="center" vertical="center" shrinkToFit="1"/>
    </xf>
    <xf numFmtId="0" fontId="11" fillId="0" borderId="0" xfId="0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8" fillId="0" borderId="0" xfId="3" applyNumberFormat="1" applyFill="1" applyBorder="1" applyAlignment="1">
      <alignment horizontal="center" vertical="center" shrinkToFit="1"/>
    </xf>
    <xf numFmtId="0" fontId="7" fillId="0" borderId="8" xfId="0" applyFont="1" applyBorder="1" applyAlignment="1">
      <alignment horizontal="center" vertical="center"/>
    </xf>
  </cellXfs>
  <cellStyles count="4">
    <cellStyle name="Normal" xfId="1"/>
    <cellStyle name="좋음" xfId="2"/>
    <cellStyle name="표준" xfId="0" builtinId="0"/>
    <cellStyle name="하이퍼링크" xfId="3"/>
  </cellStyles>
  <dxfs count="15">
    <dxf>
      <font>
        <u val="none"/>
        <sz val="10"/>
        <color auto="1"/>
        <name val="맑은 고딕"/>
        <scheme val="none"/>
      </font>
    </dxf>
    <dxf>
      <font>
        <u val="none"/>
        <sz val="10"/>
        <color auto="1"/>
        <name val="맑은 고딕"/>
        <scheme val="none"/>
      </font>
      <numFmt numFmtId="0" formatCode="General"/>
      <fill>
        <patternFill>
          <bgColor indexed="65"/>
        </patternFill>
      </fill>
      <alignment vertical="center" textRotation="0" wrapText="0" justifyLastLine="0" shrinkToFit="1" readingOrder="0"/>
    </dxf>
    <dxf>
      <font>
        <u val="none"/>
        <sz val="10"/>
        <color auto="1"/>
        <name val="맑은 고딕"/>
        <scheme val="none"/>
      </font>
    </dxf>
    <dxf>
      <font>
        <u val="none"/>
        <sz val="10"/>
        <color auto="1"/>
        <name val="맑은 고딕"/>
        <scheme val="none"/>
      </font>
    </dxf>
    <dxf>
      <font>
        <u val="none"/>
        <sz val="10"/>
        <color auto="1"/>
        <name val="맑은 고딕"/>
        <scheme val="none"/>
      </font>
    </dxf>
    <dxf>
      <font>
        <u val="none"/>
        <sz val="10"/>
        <color auto="1"/>
        <name val="맑은 고딕"/>
        <scheme val="none"/>
      </font>
      <numFmt numFmtId="0" formatCode="General"/>
      <fill>
        <patternFill>
          <bgColor indexed="65"/>
        </patternFill>
      </fill>
    </dxf>
    <dxf>
      <font>
        <u val="none"/>
        <sz val="10"/>
        <color auto="1"/>
        <name val="맑은 고딕"/>
        <scheme val="none"/>
      </font>
    </dxf>
    <dxf>
      <font>
        <u val="none"/>
        <sz val="10"/>
        <color auto="1"/>
        <name val="맑은 고딕"/>
        <scheme val="none"/>
      </font>
    </dxf>
    <dxf>
      <font>
        <u val="none"/>
        <sz val="10"/>
        <color auto="1"/>
        <name val="맑은 고딕"/>
        <scheme val="none"/>
      </font>
      <numFmt numFmtId="0" formatCode="General"/>
      <fill>
        <patternFill>
          <bgColor indexed="65"/>
        </patternFill>
      </fill>
    </dxf>
    <dxf>
      <font>
        <u val="none"/>
        <sz val="10"/>
        <color auto="1"/>
        <name val="맑은 고딕"/>
        <scheme val="none"/>
      </font>
      <numFmt numFmtId="0" formatCode="General"/>
      <fill>
        <patternFill>
          <bgColor indexed="65"/>
        </patternFill>
      </fill>
    </dxf>
    <dxf>
      <font>
        <u val="none"/>
        <sz val="10"/>
        <color auto="1"/>
        <name val="맑은 고딕"/>
        <scheme val="none"/>
      </font>
      <numFmt numFmtId="0" formatCode="General"/>
      <fill>
        <patternFill>
          <bgColor indexed="65"/>
        </patternFill>
      </fill>
    </dxf>
    <dxf>
      <font>
        <u val="none"/>
        <sz val="10"/>
        <color auto="1"/>
        <name val="맑은 고딕"/>
        <scheme val="none"/>
      </font>
      <numFmt numFmtId="0" formatCode="General"/>
      <fill>
        <patternFill>
          <bgColor indexed="65"/>
        </patternFill>
      </fill>
    </dxf>
    <dxf>
      <font>
        <u val="none"/>
        <sz val="10"/>
        <color auto="1"/>
        <name val="맑은 고딕"/>
        <scheme val="none"/>
      </font>
      <numFmt numFmtId="0" formatCode="General"/>
      <fill>
        <patternFill>
          <bgColor indexed="65"/>
        </patternFill>
      </fill>
    </dxf>
    <dxf>
      <font>
        <u val="none"/>
        <sz val="10"/>
        <color auto="1"/>
        <name val="맑은 고딕"/>
        <scheme val="none"/>
      </font>
    </dxf>
    <dxf>
      <font>
        <u val="none"/>
        <sz val="10"/>
        <color auto="1"/>
        <name val="맑은 고딕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WRC_All_Table" displayName="WRC_All_Table" ref="A2:N266" totalsRowShown="0" dataDxfId="14">
  <autoFilter ref="A2:N266"/>
  <sortState ref="A3:N266">
    <sortCondition ref="E3:E266"/>
    <sortCondition ref="C3:C266"/>
    <sortCondition descending="1" ref="D3:D266"/>
  </sortState>
  <tableColumns count="14">
    <tableColumn id="1" name="UID" dataDxfId="13"/>
    <tableColumn id="16" name="홀" dataDxfId="12"/>
    <tableColumn id="2" name="부스" dataDxfId="11"/>
    <tableColumn id="14" name="중요도" dataDxfId="10"/>
    <tableColumn id="11" name="방문예정일" dataDxfId="9"/>
    <tableColumn id="5" name="기업명(영어)" dataDxfId="8"/>
    <tableColumn id="3" name="기업명(중국어)" dataDxfId="7"/>
    <tableColumn id="4" name="기업명(한국어)" dataDxfId="6"/>
    <tableColumn id="20" name="국적" dataDxfId="5"/>
    <tableColumn id="6" name="주요 분야" dataDxfId="4"/>
    <tableColumn id="7" name="간단 설명" dataDxfId="3"/>
    <tableColumn id="9" name="비고" dataDxfId="2"/>
    <tableColumn id="13" name="링크" dataDxfId="1"/>
    <tableColumn id="12" name="방문 메모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orldrobotconference.com/expo/company/635.html" TargetMode="External"/><Relationship Id="rId13" Type="http://schemas.openxmlformats.org/officeDocument/2006/relationships/hyperlink" Target="https://www.worldrobotconference.com/expo/company/703.html" TargetMode="External"/><Relationship Id="rId3" Type="http://schemas.openxmlformats.org/officeDocument/2006/relationships/hyperlink" Target="https://www.worldrobotconference.com/expo/company/629.html" TargetMode="External"/><Relationship Id="rId7" Type="http://schemas.openxmlformats.org/officeDocument/2006/relationships/hyperlink" Target="https://www.worldrobotconference.com/expo/company/855.html" TargetMode="External"/><Relationship Id="rId12" Type="http://schemas.openxmlformats.org/officeDocument/2006/relationships/hyperlink" Target="https://www.worldrobotconference.com/expo/company/671.html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www.worldrobotconference.com/expo/company/468.html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worldrobotconference.com/expo/" TargetMode="External"/><Relationship Id="rId6" Type="http://schemas.openxmlformats.org/officeDocument/2006/relationships/hyperlink" Target="https://www.worldrobotconference.com/expo/company/888.html" TargetMode="External"/><Relationship Id="rId11" Type="http://schemas.openxmlformats.org/officeDocument/2006/relationships/hyperlink" Target="https://www.worldrobotconference.com/expo/company/401.html" TargetMode="External"/><Relationship Id="rId5" Type="http://schemas.openxmlformats.org/officeDocument/2006/relationships/hyperlink" Target="https://www.worldrobotconference.com/expo/company/633.html" TargetMode="External"/><Relationship Id="rId15" Type="http://schemas.openxmlformats.org/officeDocument/2006/relationships/hyperlink" Target="https://www.worldrobotconference.com/expo/company/871.html" TargetMode="External"/><Relationship Id="rId10" Type="http://schemas.openxmlformats.org/officeDocument/2006/relationships/hyperlink" Target="https://www.worldrobotconference.com/expo/company/644.html" TargetMode="External"/><Relationship Id="rId4" Type="http://schemas.openxmlformats.org/officeDocument/2006/relationships/hyperlink" Target="https://www.worldrobotconference.com/expo/product/1114.html" TargetMode="External"/><Relationship Id="rId9" Type="http://schemas.openxmlformats.org/officeDocument/2006/relationships/hyperlink" Target="https://www.worldrobotconference.com/expo/company/632.html" TargetMode="External"/><Relationship Id="rId14" Type="http://schemas.openxmlformats.org/officeDocument/2006/relationships/hyperlink" Target="https://www.worldrobotconference.com/expo/company/86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6"/>
  <sheetViews>
    <sheetView tabSelected="1" zoomScale="115" zoomScaleNormal="115" workbookViewId="0">
      <selection activeCell="M83" sqref="M83"/>
    </sheetView>
  </sheetViews>
  <sheetFormatPr defaultRowHeight="16.5"/>
  <cols>
    <col min="1" max="1" width="5.5" style="3" customWidth="1"/>
    <col min="2" max="2" width="5.125" style="3" customWidth="1"/>
    <col min="3" max="3" width="5.625" style="3" customWidth="1"/>
    <col min="4" max="4" width="8.375" style="3" customWidth="1"/>
    <col min="5" max="5" width="11.625" customWidth="1"/>
    <col min="6" max="6" width="18.5" customWidth="1"/>
    <col min="7" max="7" width="12.875" style="3" customWidth="1"/>
    <col min="8" max="8" width="18.5" style="3" customWidth="1"/>
    <col min="9" max="9" width="9.625" style="3" customWidth="1"/>
    <col min="10" max="10" width="12.5" style="3" customWidth="1"/>
    <col min="11" max="11" width="36.625" style="3" customWidth="1"/>
    <col min="12" max="12" width="19.5" style="3" customWidth="1"/>
    <col min="13" max="13" width="6.875" style="24" customWidth="1"/>
    <col min="14" max="14" width="28.375" customWidth="1"/>
    <col min="15" max="15" width="11.625" style="3" customWidth="1"/>
    <col min="16" max="16" width="45" style="3" customWidth="1"/>
    <col min="17" max="17" width="43.125" style="3" customWidth="1"/>
    <col min="18" max="18" width="14" style="3" customWidth="1"/>
    <col min="19" max="19" width="30" style="3" customWidth="1"/>
    <col min="20" max="16384" width="9" style="3"/>
  </cols>
  <sheetData>
    <row r="1" spans="1:14" ht="27.95" customHeight="1">
      <c r="A1" s="13" t="s">
        <v>0</v>
      </c>
      <c r="B1" s="1"/>
      <c r="C1" s="1"/>
      <c r="D1" s="1"/>
      <c r="E1" s="2"/>
      <c r="F1" s="1"/>
      <c r="G1" s="1"/>
      <c r="H1" s="1"/>
      <c r="I1" s="2"/>
      <c r="J1" s="1"/>
      <c r="K1" s="1"/>
      <c r="L1" s="1"/>
      <c r="M1" s="20"/>
      <c r="N1" s="19" t="str">
        <f>HYPERLINK("https://www.worldrobotconference.com/expo/","https://www.worldrobotconference.com/expo/")</f>
        <v>https://www.worldrobotconference.com/expo/</v>
      </c>
    </row>
    <row r="2" spans="1:14">
      <c r="A2" s="14" t="s">
        <v>1</v>
      </c>
      <c r="B2" s="14" t="s">
        <v>2</v>
      </c>
      <c r="C2" s="15" t="s">
        <v>3</v>
      </c>
      <c r="D2" s="16" t="s">
        <v>4</v>
      </c>
      <c r="E2" s="15" t="s">
        <v>5</v>
      </c>
      <c r="F2" s="15" t="s">
        <v>6</v>
      </c>
      <c r="G2" s="15" t="s">
        <v>7</v>
      </c>
      <c r="H2" s="15" t="s">
        <v>8</v>
      </c>
      <c r="I2" s="16" t="s">
        <v>9</v>
      </c>
      <c r="J2" s="15" t="s">
        <v>10</v>
      </c>
      <c r="K2" s="15" t="s">
        <v>11</v>
      </c>
      <c r="L2" s="15" t="s">
        <v>12</v>
      </c>
      <c r="M2" s="21" t="s">
        <v>13</v>
      </c>
      <c r="N2" s="4" t="s">
        <v>14</v>
      </c>
    </row>
    <row r="3" spans="1:14" s="11" customFormat="1" ht="42" customHeight="1">
      <c r="A3" s="5" t="s">
        <v>88</v>
      </c>
      <c r="B3" s="5" t="s">
        <v>16</v>
      </c>
      <c r="C3" s="5" t="s">
        <v>89</v>
      </c>
      <c r="D3" s="6" t="s">
        <v>1759</v>
      </c>
      <c r="E3" s="7" t="s">
        <v>1784</v>
      </c>
      <c r="F3" s="12" t="s">
        <v>90</v>
      </c>
      <c r="G3" s="12" t="s">
        <v>91</v>
      </c>
      <c r="H3" s="12" t="s">
        <v>92</v>
      </c>
      <c r="I3" s="12" t="s">
        <v>21</v>
      </c>
      <c r="J3" s="12" t="s">
        <v>93</v>
      </c>
      <c r="K3" s="12" t="s">
        <v>94</v>
      </c>
      <c r="L3" s="7"/>
      <c r="M3" s="23" t="str">
        <f>HYPERLINK("https://www.worldrobotconference.com/expo/company/535.html","https://www.worldrobotconference.com/expo/company/535.html")</f>
        <v>https://www.worldrobotconference.com/expo/company/535.html</v>
      </c>
      <c r="N3" s="8"/>
    </row>
    <row r="4" spans="1:14" s="11" customFormat="1" ht="42" customHeight="1">
      <c r="A4" s="5" t="s">
        <v>24</v>
      </c>
      <c r="B4" s="5" t="s">
        <v>16</v>
      </c>
      <c r="C4" s="5" t="s">
        <v>25</v>
      </c>
      <c r="D4" s="6" t="s">
        <v>1759</v>
      </c>
      <c r="E4" s="7" t="s">
        <v>1784</v>
      </c>
      <c r="F4" s="12" t="s">
        <v>26</v>
      </c>
      <c r="G4" s="12" t="s">
        <v>27</v>
      </c>
      <c r="H4" s="12" t="s">
        <v>28</v>
      </c>
      <c r="I4" s="12" t="s">
        <v>21</v>
      </c>
      <c r="J4" s="12" t="s">
        <v>29</v>
      </c>
      <c r="K4" s="12" t="s">
        <v>1786</v>
      </c>
      <c r="L4" s="7" t="s">
        <v>30</v>
      </c>
      <c r="M4" s="22" t="str">
        <f>HYPERLINK("https://www.worldrobotconference.com/expo/company/629.html","https://www.worldrobotconference.com/expo/company/629.html")</f>
        <v>https://www.worldrobotconference.com/expo/company/629.html</v>
      </c>
      <c r="N4" s="8"/>
    </row>
    <row r="5" spans="1:14" s="11" customFormat="1" ht="42" customHeight="1">
      <c r="A5" s="5" t="s">
        <v>108</v>
      </c>
      <c r="B5" s="5" t="s">
        <v>16</v>
      </c>
      <c r="C5" s="5" t="s">
        <v>109</v>
      </c>
      <c r="D5" s="6" t="s">
        <v>1760</v>
      </c>
      <c r="E5" s="7" t="s">
        <v>1784</v>
      </c>
      <c r="F5" s="12" t="s">
        <v>110</v>
      </c>
      <c r="G5" s="12" t="s">
        <v>111</v>
      </c>
      <c r="H5" s="12" t="s">
        <v>112</v>
      </c>
      <c r="I5" s="12" t="s">
        <v>21</v>
      </c>
      <c r="J5" s="12" t="s">
        <v>113</v>
      </c>
      <c r="K5" s="12" t="s">
        <v>114</v>
      </c>
      <c r="L5" s="7"/>
      <c r="M5" s="23" t="str">
        <f>HYPERLINK("https://www.worldrobotconference.com/expo/company/630.html","https://www.worldrobotconference.com/expo/company/630.html")</f>
        <v>https://www.worldrobotconference.com/expo/company/630.html</v>
      </c>
      <c r="N5" s="8"/>
    </row>
    <row r="6" spans="1:14" s="11" customFormat="1" ht="42" customHeight="1">
      <c r="A6" s="5" t="s">
        <v>31</v>
      </c>
      <c r="B6" s="5" t="s">
        <v>16</v>
      </c>
      <c r="C6" s="5" t="s">
        <v>32</v>
      </c>
      <c r="D6" s="6" t="s">
        <v>1759</v>
      </c>
      <c r="E6" s="7" t="s">
        <v>1784</v>
      </c>
      <c r="F6" s="12" t="s">
        <v>33</v>
      </c>
      <c r="G6" s="12" t="s">
        <v>34</v>
      </c>
      <c r="H6" s="12" t="s">
        <v>35</v>
      </c>
      <c r="I6" s="12" t="s">
        <v>21</v>
      </c>
      <c r="J6" s="12" t="s">
        <v>36</v>
      </c>
      <c r="K6" s="12" t="s">
        <v>37</v>
      </c>
      <c r="L6" s="7" t="s">
        <v>30</v>
      </c>
      <c r="M6" s="25" t="str">
        <f>HYPERLINK("https://www.worldrobotconference.com/expo/product/1114.html","https://www.worldrobotconference.com/expo/product/1114.html")</f>
        <v>https://www.worldrobotconference.com/expo/product/1114.html</v>
      </c>
      <c r="N6" s="8"/>
    </row>
    <row r="7" spans="1:14" s="11" customFormat="1" ht="42" customHeight="1">
      <c r="A7" s="5" t="s">
        <v>95</v>
      </c>
      <c r="B7" s="5" t="s">
        <v>16</v>
      </c>
      <c r="C7" s="5" t="s">
        <v>96</v>
      </c>
      <c r="D7" s="6" t="s">
        <v>1760</v>
      </c>
      <c r="E7" s="7" t="s">
        <v>1784</v>
      </c>
      <c r="F7" s="12" t="s">
        <v>97</v>
      </c>
      <c r="G7" s="12" t="s">
        <v>98</v>
      </c>
      <c r="H7" s="12" t="s">
        <v>99</v>
      </c>
      <c r="I7" s="12" t="s">
        <v>21</v>
      </c>
      <c r="J7" s="12" t="s">
        <v>93</v>
      </c>
      <c r="K7" s="12" t="s">
        <v>100</v>
      </c>
      <c r="L7" s="7"/>
      <c r="M7" s="22" t="str">
        <f>HYPERLINK("https://www.worldrobotconference.com/expo/company/632.html","https://www.worldrobotconference.com/expo/company/632.html")</f>
        <v>https://www.worldrobotconference.com/expo/company/632.html</v>
      </c>
      <c r="N7" s="8"/>
    </row>
    <row r="8" spans="1:14" s="11" customFormat="1" ht="42" customHeight="1">
      <c r="A8" s="5" t="s">
        <v>38</v>
      </c>
      <c r="B8" s="5" t="s">
        <v>16</v>
      </c>
      <c r="C8" s="5" t="s">
        <v>39</v>
      </c>
      <c r="D8" s="6" t="s">
        <v>1759</v>
      </c>
      <c r="E8" s="7" t="s">
        <v>1784</v>
      </c>
      <c r="F8" s="12" t="s">
        <v>40</v>
      </c>
      <c r="G8" s="12" t="s">
        <v>41</v>
      </c>
      <c r="H8" s="12" t="s">
        <v>42</v>
      </c>
      <c r="I8" s="12" t="s">
        <v>21</v>
      </c>
      <c r="J8" s="12" t="s">
        <v>43</v>
      </c>
      <c r="K8" s="12" t="s">
        <v>44</v>
      </c>
      <c r="L8" s="7" t="s">
        <v>30</v>
      </c>
      <c r="M8" s="22" t="str">
        <f>HYPERLINK("https://www.worldrobotconference.com/expo/company/633.html","https://www.worldrobotconference.com/expo/company/633.html")</f>
        <v>https://www.worldrobotconference.com/expo/company/633.html</v>
      </c>
      <c r="N8" s="8"/>
    </row>
    <row r="9" spans="1:14" s="11" customFormat="1" ht="42" customHeight="1">
      <c r="A9" s="5" t="s">
        <v>66</v>
      </c>
      <c r="B9" s="5" t="s">
        <v>16</v>
      </c>
      <c r="C9" s="5" t="s">
        <v>67</v>
      </c>
      <c r="D9" s="6" t="s">
        <v>1759</v>
      </c>
      <c r="E9" s="7" t="s">
        <v>1784</v>
      </c>
      <c r="F9" s="12" t="s">
        <v>68</v>
      </c>
      <c r="G9" s="12" t="s">
        <v>69</v>
      </c>
      <c r="H9" s="12" t="s">
        <v>70</v>
      </c>
      <c r="I9" s="12" t="s">
        <v>21</v>
      </c>
      <c r="J9" s="12" t="s">
        <v>71</v>
      </c>
      <c r="K9" s="12" t="s">
        <v>72</v>
      </c>
      <c r="L9" s="7" t="s">
        <v>30</v>
      </c>
      <c r="M9" s="22" t="str">
        <f>HYPERLINK("https://www.worldrobotconference.com/expo/company/635.html","https://www.worldrobotconference.com/expo/company/635.html")</f>
        <v>https://www.worldrobotconference.com/expo/company/635.html</v>
      </c>
      <c r="N9" s="8"/>
    </row>
    <row r="10" spans="1:14" s="11" customFormat="1" ht="42" customHeight="1">
      <c r="A10" s="5" t="s">
        <v>150</v>
      </c>
      <c r="B10" s="5" t="s">
        <v>16</v>
      </c>
      <c r="C10" s="5" t="s">
        <v>151</v>
      </c>
      <c r="D10" s="6" t="s">
        <v>1758</v>
      </c>
      <c r="E10" s="7" t="s">
        <v>1784</v>
      </c>
      <c r="F10" s="12" t="s">
        <v>152</v>
      </c>
      <c r="G10" s="12" t="s">
        <v>153</v>
      </c>
      <c r="H10" s="12" t="s">
        <v>154</v>
      </c>
      <c r="I10" s="12" t="s">
        <v>21</v>
      </c>
      <c r="J10" s="12" t="s">
        <v>155</v>
      </c>
      <c r="K10" s="12" t="s">
        <v>156</v>
      </c>
      <c r="L10" s="7"/>
      <c r="M10" s="23" t="str">
        <f>HYPERLINK("https://www.worldrobotconference.com/expo/company/572.html","https://www.worldrobotconference.com/expo/company/572.html")</f>
        <v>https://www.worldrobotconference.com/expo/company/572.html</v>
      </c>
      <c r="N10" s="8"/>
    </row>
    <row r="11" spans="1:14" s="11" customFormat="1" ht="42" customHeight="1">
      <c r="A11" s="5" t="s">
        <v>333</v>
      </c>
      <c r="B11" s="5" t="s">
        <v>16</v>
      </c>
      <c r="C11" s="5" t="s">
        <v>334</v>
      </c>
      <c r="D11" s="6" t="s">
        <v>1760</v>
      </c>
      <c r="E11" s="7" t="s">
        <v>1784</v>
      </c>
      <c r="F11" s="12" t="s">
        <v>335</v>
      </c>
      <c r="G11" s="12" t="s">
        <v>336</v>
      </c>
      <c r="H11" s="12" t="s">
        <v>337</v>
      </c>
      <c r="I11" s="12" t="s">
        <v>21</v>
      </c>
      <c r="J11" s="12" t="s">
        <v>338</v>
      </c>
      <c r="K11" s="12" t="s">
        <v>339</v>
      </c>
      <c r="L11" s="7"/>
      <c r="M11" s="23" t="str">
        <f>HYPERLINK("https://www.worldrobotconference.com/expo/company/580.html","https://www.worldrobotconference.com/expo/company/580.html")</f>
        <v>https://www.worldrobotconference.com/expo/company/580.html</v>
      </c>
      <c r="N11" s="8"/>
    </row>
    <row r="12" spans="1:14" s="11" customFormat="1" ht="42" customHeight="1">
      <c r="A12" s="5" t="s">
        <v>136</v>
      </c>
      <c r="B12" s="5" t="s">
        <v>16</v>
      </c>
      <c r="C12" s="5" t="s">
        <v>137</v>
      </c>
      <c r="D12" s="6" t="s">
        <v>1758</v>
      </c>
      <c r="E12" s="7" t="s">
        <v>1784</v>
      </c>
      <c r="F12" s="12" t="s">
        <v>138</v>
      </c>
      <c r="G12" s="12" t="s">
        <v>139</v>
      </c>
      <c r="H12" s="12" t="s">
        <v>140</v>
      </c>
      <c r="I12" s="12" t="s">
        <v>21</v>
      </c>
      <c r="J12" s="12" t="s">
        <v>141</v>
      </c>
      <c r="K12" s="12" t="s">
        <v>142</v>
      </c>
      <c r="L12" s="7"/>
      <c r="M12" s="22" t="str">
        <f>HYPERLINK("https://www.worldrobotconference.com/expo/company/644.html","https://www.worldrobotconference.com/expo/company/644.html")</f>
        <v>https://www.worldrobotconference.com/expo/company/644.html</v>
      </c>
      <c r="N12" s="8"/>
    </row>
    <row r="13" spans="1:14" s="11" customFormat="1" ht="42" customHeight="1">
      <c r="A13" s="5" t="s">
        <v>45</v>
      </c>
      <c r="B13" s="5" t="s">
        <v>16</v>
      </c>
      <c r="C13" s="5" t="s">
        <v>46</v>
      </c>
      <c r="D13" s="6" t="s">
        <v>1759</v>
      </c>
      <c r="E13" s="7" t="s">
        <v>1784</v>
      </c>
      <c r="F13" s="12" t="s">
        <v>47</v>
      </c>
      <c r="G13" s="12" t="s">
        <v>48</v>
      </c>
      <c r="H13" s="12" t="s">
        <v>49</v>
      </c>
      <c r="I13" s="12" t="s">
        <v>21</v>
      </c>
      <c r="J13" s="12" t="s">
        <v>50</v>
      </c>
      <c r="K13" s="12" t="s">
        <v>51</v>
      </c>
      <c r="L13" s="7" t="s">
        <v>30</v>
      </c>
      <c r="M13" s="22" t="str">
        <f>HYPERLINK("https://www.worldrobotconference.com/expo/company/888.html","https://www.worldrobotconference.com/expo/company/888.html")</f>
        <v>https://www.worldrobotconference.com/expo/company/888.html</v>
      </c>
      <c r="N13" s="8"/>
    </row>
    <row r="14" spans="1:14" s="11" customFormat="1" ht="42" customHeight="1">
      <c r="A14" s="5" t="s">
        <v>157</v>
      </c>
      <c r="B14" s="5" t="s">
        <v>74</v>
      </c>
      <c r="C14" s="5" t="s">
        <v>158</v>
      </c>
      <c r="D14" s="6" t="s">
        <v>1758</v>
      </c>
      <c r="E14" s="7" t="s">
        <v>1784</v>
      </c>
      <c r="F14" s="12" t="s">
        <v>159</v>
      </c>
      <c r="G14" s="12" t="s">
        <v>84</v>
      </c>
      <c r="H14" s="12" t="s">
        <v>84</v>
      </c>
      <c r="I14" s="12" t="s">
        <v>160</v>
      </c>
      <c r="J14" s="12" t="s">
        <v>93</v>
      </c>
      <c r="K14" s="12" t="s">
        <v>161</v>
      </c>
      <c r="L14" s="7" t="s">
        <v>162</v>
      </c>
      <c r="M14" s="23" t="str">
        <f>HYPERLINK("https://www.worldrobotconference.com/expo/company/657.html","https://www.worldrobotconference.com/expo/company/657.html")</f>
        <v>https://www.worldrobotconference.com/expo/company/657.html</v>
      </c>
      <c r="N14" s="8"/>
    </row>
    <row r="15" spans="1:14" s="11" customFormat="1" ht="42" customHeight="1">
      <c r="A15" s="5" t="s">
        <v>81</v>
      </c>
      <c r="B15" s="5" t="s">
        <v>74</v>
      </c>
      <c r="C15" s="5" t="s">
        <v>82</v>
      </c>
      <c r="D15" s="6" t="s">
        <v>1759</v>
      </c>
      <c r="E15" s="7" t="s">
        <v>1784</v>
      </c>
      <c r="F15" s="12" t="s">
        <v>83</v>
      </c>
      <c r="G15" s="12" t="s">
        <v>84</v>
      </c>
      <c r="H15" s="12" t="s">
        <v>84</v>
      </c>
      <c r="I15" s="12" t="s">
        <v>85</v>
      </c>
      <c r="J15" s="12" t="s">
        <v>86</v>
      </c>
      <c r="K15" s="12" t="s">
        <v>87</v>
      </c>
      <c r="L15" s="7" t="s">
        <v>30</v>
      </c>
      <c r="M15" s="23" t="str">
        <f>HYPERLINK("https://www.worldrobotconference.com/expo/company/667.html","https://www.worldrobotconference.com/expo/company/667.html")</f>
        <v>https://www.worldrobotconference.com/expo/company/667.html</v>
      </c>
      <c r="N15" s="8"/>
    </row>
    <row r="16" spans="1:14" s="11" customFormat="1" ht="42" customHeight="1">
      <c r="A16" s="5" t="s">
        <v>258</v>
      </c>
      <c r="B16" s="5" t="s">
        <v>74</v>
      </c>
      <c r="C16" s="5" t="s">
        <v>259</v>
      </c>
      <c r="D16" s="6" t="s">
        <v>1759</v>
      </c>
      <c r="E16" s="7" t="s">
        <v>1784</v>
      </c>
      <c r="F16" s="12" t="s">
        <v>260</v>
      </c>
      <c r="G16" s="12" t="s">
        <v>84</v>
      </c>
      <c r="H16" s="12" t="s">
        <v>84</v>
      </c>
      <c r="I16" s="12" t="s">
        <v>261</v>
      </c>
      <c r="J16" s="12" t="s">
        <v>262</v>
      </c>
      <c r="K16" s="12" t="s">
        <v>263</v>
      </c>
      <c r="L16" s="7"/>
      <c r="M16" s="23" t="str">
        <f>HYPERLINK("https://www.worldrobotconference.com/expo/company/670.html","https://www.worldrobotconference.com/expo/company/670.html")</f>
        <v>https://www.worldrobotconference.com/expo/company/670.html</v>
      </c>
      <c r="N16" s="8"/>
    </row>
    <row r="17" spans="1:14" s="11" customFormat="1" ht="42" customHeight="1">
      <c r="A17" s="5" t="s">
        <v>264</v>
      </c>
      <c r="B17" s="5" t="s">
        <v>74</v>
      </c>
      <c r="C17" s="5" t="s">
        <v>265</v>
      </c>
      <c r="D17" s="6" t="s">
        <v>1759</v>
      </c>
      <c r="E17" s="7" t="s">
        <v>1784</v>
      </c>
      <c r="F17" s="12" t="s">
        <v>266</v>
      </c>
      <c r="G17" s="12" t="s">
        <v>267</v>
      </c>
      <c r="H17" s="12" t="s">
        <v>84</v>
      </c>
      <c r="I17" s="12" t="s">
        <v>261</v>
      </c>
      <c r="J17" s="12" t="s">
        <v>268</v>
      </c>
      <c r="K17" s="12" t="s">
        <v>269</v>
      </c>
      <c r="L17" s="7" t="s">
        <v>270</v>
      </c>
      <c r="M17" s="22" t="str">
        <f>HYPERLINK("https://www.worldrobotconference.com/expo/company/671.html","https://www.worldrobotconference.com/expo/company/671.html")</f>
        <v>https://www.worldrobotconference.com/expo/company/671.html</v>
      </c>
      <c r="N17" s="8"/>
    </row>
    <row r="18" spans="1:14" s="11" customFormat="1" ht="42" customHeight="1">
      <c r="A18" s="5" t="s">
        <v>143</v>
      </c>
      <c r="B18" s="5" t="s">
        <v>74</v>
      </c>
      <c r="C18" s="5" t="s">
        <v>144</v>
      </c>
      <c r="D18" s="6" t="s">
        <v>1759</v>
      </c>
      <c r="E18" s="7" t="s">
        <v>1784</v>
      </c>
      <c r="F18" s="12" t="s">
        <v>145</v>
      </c>
      <c r="G18" s="12" t="s">
        <v>146</v>
      </c>
      <c r="H18" s="12" t="s">
        <v>147</v>
      </c>
      <c r="I18" s="12" t="s">
        <v>21</v>
      </c>
      <c r="J18" s="12" t="s">
        <v>148</v>
      </c>
      <c r="K18" s="12" t="s">
        <v>149</v>
      </c>
      <c r="L18" s="7" t="s">
        <v>30</v>
      </c>
      <c r="M18" s="23" t="str">
        <f>HYPERLINK("https://www.worldrobotconference.com/expo/company/598.html","https://www.worldrobotconference.com/expo/company/598.html")</f>
        <v>https://www.worldrobotconference.com/expo/company/598.html</v>
      </c>
      <c r="N18" s="8"/>
    </row>
    <row r="19" spans="1:14" s="11" customFormat="1" ht="42" customHeight="1">
      <c r="A19" s="5" t="s">
        <v>168</v>
      </c>
      <c r="B19" s="5" t="s">
        <v>74</v>
      </c>
      <c r="C19" s="5" t="s">
        <v>169</v>
      </c>
      <c r="D19" s="6" t="s">
        <v>1760</v>
      </c>
      <c r="E19" s="7" t="s">
        <v>1784</v>
      </c>
      <c r="F19" s="12" t="s">
        <v>170</v>
      </c>
      <c r="G19" s="12" t="s">
        <v>84</v>
      </c>
      <c r="H19" s="12" t="s">
        <v>84</v>
      </c>
      <c r="I19" s="12" t="s">
        <v>171</v>
      </c>
      <c r="J19" s="12" t="s">
        <v>172</v>
      </c>
      <c r="K19" s="12" t="s">
        <v>173</v>
      </c>
      <c r="L19" s="7"/>
      <c r="M19" s="23" t="str">
        <f>HYPERLINK("https://www.worldrobotconference.com/expo/company/537.html","https://www.worldrobotconference.com/expo/company/537.html")</f>
        <v>https://www.worldrobotconference.com/expo/company/537.html</v>
      </c>
      <c r="N19" s="8"/>
    </row>
    <row r="20" spans="1:14" s="11" customFormat="1" ht="42" customHeight="1">
      <c r="A20" s="5" t="s">
        <v>1237</v>
      </c>
      <c r="B20" s="5" t="s">
        <v>272</v>
      </c>
      <c r="C20" s="5" t="s">
        <v>1236</v>
      </c>
      <c r="D20" s="6" t="s">
        <v>1758</v>
      </c>
      <c r="E20" s="7" t="s">
        <v>1784</v>
      </c>
      <c r="F20" s="12" t="s">
        <v>1238</v>
      </c>
      <c r="G20" s="12" t="s">
        <v>1239</v>
      </c>
      <c r="H20" s="12" t="s">
        <v>1240</v>
      </c>
      <c r="I20" s="12" t="s">
        <v>21</v>
      </c>
      <c r="J20" s="12" t="s">
        <v>1241</v>
      </c>
      <c r="K20" s="12" t="s">
        <v>1242</v>
      </c>
      <c r="L20" s="7" t="s">
        <v>1775</v>
      </c>
      <c r="M20" s="22" t="str">
        <f>HYPERLINK("https://www.worldrobotconference.com/expo/company/871.html","https://www.worldrobotconference.com/expo/company/871.html")</f>
        <v>https://www.worldrobotconference.com/expo/company/871.html</v>
      </c>
      <c r="N20" s="8"/>
    </row>
    <row r="21" spans="1:14" s="11" customFormat="1" ht="42" customHeight="1">
      <c r="A21" s="5" t="s">
        <v>1739</v>
      </c>
      <c r="B21" s="5" t="s">
        <v>53</v>
      </c>
      <c r="C21" s="5" t="s">
        <v>237</v>
      </c>
      <c r="D21" s="6" t="s">
        <v>1763</v>
      </c>
      <c r="E21" s="7" t="s">
        <v>1784</v>
      </c>
      <c r="F21" s="12" t="s">
        <v>238</v>
      </c>
      <c r="G21" s="12" t="s">
        <v>239</v>
      </c>
      <c r="H21" s="12" t="s">
        <v>240</v>
      </c>
      <c r="I21" s="12" t="s">
        <v>21</v>
      </c>
      <c r="J21" s="12" t="s">
        <v>241</v>
      </c>
      <c r="K21" s="12" t="s">
        <v>242</v>
      </c>
      <c r="L21" s="7"/>
      <c r="M21" s="23" t="str">
        <f>HYPERLINK("https://www.worldrobotconference.com/expo/company/802.html","https://www.worldrobotconference.com/expo/company/802.html")</f>
        <v>https://www.worldrobotconference.com/expo/company/802.html</v>
      </c>
      <c r="N21" s="8"/>
    </row>
    <row r="22" spans="1:14" s="11" customFormat="1" ht="42" customHeight="1">
      <c r="A22" s="5" t="s">
        <v>1776</v>
      </c>
      <c r="B22" s="5" t="s">
        <v>53</v>
      </c>
      <c r="C22" s="5" t="s">
        <v>54</v>
      </c>
      <c r="D22" s="6" t="s">
        <v>1759</v>
      </c>
      <c r="E22" s="7" t="s">
        <v>1784</v>
      </c>
      <c r="F22" s="12" t="s">
        <v>55</v>
      </c>
      <c r="G22" s="12" t="s">
        <v>56</v>
      </c>
      <c r="H22" s="12" t="s">
        <v>57</v>
      </c>
      <c r="I22" s="12" t="s">
        <v>21</v>
      </c>
      <c r="J22" s="12" t="s">
        <v>50</v>
      </c>
      <c r="K22" s="12" t="s">
        <v>58</v>
      </c>
      <c r="L22" s="7" t="s">
        <v>30</v>
      </c>
      <c r="M22" s="22" t="str">
        <f>HYPERLINK("https://www.worldrobotconference.com/expo/company/855.html","https://www.worldrobotconference.com/expo/company/855.html")</f>
        <v>https://www.worldrobotconference.com/expo/company/855.html</v>
      </c>
      <c r="N22" s="8"/>
    </row>
    <row r="23" spans="1:14" s="11" customFormat="1" ht="42" customHeight="1">
      <c r="A23" s="5" t="s">
        <v>243</v>
      </c>
      <c r="B23" s="5" t="s">
        <v>16</v>
      </c>
      <c r="C23" s="5" t="s">
        <v>244</v>
      </c>
      <c r="D23" s="6" t="s">
        <v>1758</v>
      </c>
      <c r="E23" s="7" t="s">
        <v>1785</v>
      </c>
      <c r="F23" s="12" t="s">
        <v>245</v>
      </c>
      <c r="G23" s="12" t="s">
        <v>246</v>
      </c>
      <c r="H23" s="12" t="s">
        <v>247</v>
      </c>
      <c r="I23" s="12" t="s">
        <v>21</v>
      </c>
      <c r="J23" s="12" t="s">
        <v>248</v>
      </c>
      <c r="K23" s="12" t="s">
        <v>249</v>
      </c>
      <c r="L23" s="7"/>
      <c r="M23" s="23" t="str">
        <f>HYPERLINK("https://www.worldrobotconference.com/expo/company/614.html","https://www.worldrobotconference.com/expo/company/614.html")</f>
        <v>https://www.worldrobotconference.com/expo/company/614.html</v>
      </c>
      <c r="N23" s="8"/>
    </row>
    <row r="24" spans="1:14" s="11" customFormat="1" ht="42" customHeight="1">
      <c r="A24" s="5" t="s">
        <v>278</v>
      </c>
      <c r="B24" s="5" t="s">
        <v>16</v>
      </c>
      <c r="C24" s="5" t="s">
        <v>279</v>
      </c>
      <c r="D24" s="6" t="s">
        <v>1758</v>
      </c>
      <c r="E24" s="7" t="s">
        <v>1785</v>
      </c>
      <c r="F24" s="12" t="s">
        <v>280</v>
      </c>
      <c r="G24" s="12" t="s">
        <v>281</v>
      </c>
      <c r="H24" s="12" t="s">
        <v>282</v>
      </c>
      <c r="I24" s="12" t="s">
        <v>21</v>
      </c>
      <c r="J24" s="12" t="s">
        <v>283</v>
      </c>
      <c r="K24" s="12" t="s">
        <v>284</v>
      </c>
      <c r="L24" s="7"/>
      <c r="M24" s="23" t="str">
        <f>HYPERLINK("https://www.worldrobotconference.com/expo/company/618.html","https://www.worldrobotconference.com/expo/company/618.html")</f>
        <v>https://www.worldrobotconference.com/expo/company/618.html</v>
      </c>
      <c r="N24" s="8"/>
    </row>
    <row r="25" spans="1:14" s="11" customFormat="1" ht="42" customHeight="1">
      <c r="A25" s="5" t="s">
        <v>285</v>
      </c>
      <c r="B25" s="5" t="s">
        <v>16</v>
      </c>
      <c r="C25" s="5" t="s">
        <v>286</v>
      </c>
      <c r="D25" s="6" t="s">
        <v>1758</v>
      </c>
      <c r="E25" s="7" t="s">
        <v>1785</v>
      </c>
      <c r="F25" s="12" t="s">
        <v>287</v>
      </c>
      <c r="G25" s="12" t="s">
        <v>288</v>
      </c>
      <c r="H25" s="12" t="s">
        <v>289</v>
      </c>
      <c r="I25" s="12" t="s">
        <v>21</v>
      </c>
      <c r="J25" s="12" t="s">
        <v>290</v>
      </c>
      <c r="K25" s="12" t="s">
        <v>291</v>
      </c>
      <c r="L25" s="7"/>
      <c r="M25" s="23" t="str">
        <f>HYPERLINK("https://www.worldrobotconference.com/expo/company/452.html","https://www.worldrobotconference.com/expo/company/452.html")</f>
        <v>https://www.worldrobotconference.com/expo/company/452.html</v>
      </c>
      <c r="N25" s="8"/>
    </row>
    <row r="26" spans="1:14" s="11" customFormat="1" ht="42" customHeight="1">
      <c r="A26" s="5" t="s">
        <v>15</v>
      </c>
      <c r="B26" s="5" t="s">
        <v>16</v>
      </c>
      <c r="C26" s="5" t="s">
        <v>17</v>
      </c>
      <c r="D26" s="6" t="s">
        <v>1759</v>
      </c>
      <c r="E26" s="7" t="s">
        <v>1785</v>
      </c>
      <c r="F26" s="12" t="s">
        <v>18</v>
      </c>
      <c r="G26" s="12" t="s">
        <v>19</v>
      </c>
      <c r="H26" s="12" t="s">
        <v>20</v>
      </c>
      <c r="I26" s="12" t="s">
        <v>21</v>
      </c>
      <c r="J26" s="12" t="s">
        <v>22</v>
      </c>
      <c r="K26" s="12" t="s">
        <v>23</v>
      </c>
      <c r="L26" s="7" t="s">
        <v>1782</v>
      </c>
      <c r="M26" s="22" t="str">
        <f>HYPERLINK("https://www.worldrobotconference.com/expo/company/468.html","https://www.worldrobotconference.com/expo/company/468.html")</f>
        <v>https://www.worldrobotconference.com/expo/company/468.html</v>
      </c>
      <c r="N26" s="8"/>
    </row>
    <row r="27" spans="1:14" s="11" customFormat="1" ht="42" customHeight="1">
      <c r="A27" s="5" t="s">
        <v>552</v>
      </c>
      <c r="B27" s="5" t="s">
        <v>16</v>
      </c>
      <c r="C27" s="5" t="s">
        <v>553</v>
      </c>
      <c r="D27" s="6" t="s">
        <v>1758</v>
      </c>
      <c r="E27" s="7" t="s">
        <v>1785</v>
      </c>
      <c r="F27" s="12" t="s">
        <v>554</v>
      </c>
      <c r="G27" s="12" t="s">
        <v>555</v>
      </c>
      <c r="H27" s="12" t="s">
        <v>556</v>
      </c>
      <c r="I27" s="12" t="s">
        <v>21</v>
      </c>
      <c r="J27" s="12" t="s">
        <v>557</v>
      </c>
      <c r="K27" s="12" t="s">
        <v>558</v>
      </c>
      <c r="L27" s="7"/>
      <c r="M27" s="23" t="str">
        <f>HYPERLINK("https://www.worldrobotconference.com/expo/company/475.html","https://www.worldrobotconference.com/expo/company/475.html")</f>
        <v>https://www.worldrobotconference.com/expo/company/475.html</v>
      </c>
      <c r="N27" s="8"/>
    </row>
    <row r="28" spans="1:14" s="11" customFormat="1" ht="42" customHeight="1">
      <c r="A28" s="5" t="s">
        <v>115</v>
      </c>
      <c r="B28" s="5" t="s">
        <v>16</v>
      </c>
      <c r="C28" s="5" t="s">
        <v>116</v>
      </c>
      <c r="D28" s="6" t="s">
        <v>1760</v>
      </c>
      <c r="E28" s="7" t="s">
        <v>1785</v>
      </c>
      <c r="F28" s="12" t="s">
        <v>117</v>
      </c>
      <c r="G28" s="12" t="s">
        <v>118</v>
      </c>
      <c r="H28" s="12" t="s">
        <v>119</v>
      </c>
      <c r="I28" s="12" t="s">
        <v>21</v>
      </c>
      <c r="J28" s="12" t="s">
        <v>120</v>
      </c>
      <c r="K28" s="12" t="s">
        <v>121</v>
      </c>
      <c r="L28" s="7"/>
      <c r="M28" s="23" t="str">
        <f>HYPERLINK("https://www.worldrobotconference.com/expo/company/520.html","https://www.worldrobotconference.com/expo/company/520.html")</f>
        <v>https://www.worldrobotconference.com/expo/company/520.html</v>
      </c>
      <c r="N28" s="8"/>
    </row>
    <row r="29" spans="1:14" s="11" customFormat="1" ht="42" customHeight="1">
      <c r="A29" s="5" t="s">
        <v>174</v>
      </c>
      <c r="B29" s="5" t="s">
        <v>16</v>
      </c>
      <c r="C29" s="5" t="s">
        <v>175</v>
      </c>
      <c r="D29" s="6" t="s">
        <v>1758</v>
      </c>
      <c r="E29" s="7" t="s">
        <v>1785</v>
      </c>
      <c r="F29" s="12" t="s">
        <v>176</v>
      </c>
      <c r="G29" s="12" t="s">
        <v>177</v>
      </c>
      <c r="H29" s="12" t="s">
        <v>178</v>
      </c>
      <c r="I29" s="12" t="s">
        <v>21</v>
      </c>
      <c r="J29" s="12" t="s">
        <v>179</v>
      </c>
      <c r="K29" s="12" t="s">
        <v>180</v>
      </c>
      <c r="L29" s="7"/>
      <c r="M29" s="23" t="str">
        <f>HYPERLINK("https://www.worldrobotconference.com/expo/company/634.html","https://www.worldrobotconference.com/expo/company/634.html")</f>
        <v>https://www.worldrobotconference.com/expo/company/634.html</v>
      </c>
      <c r="N29" s="8"/>
    </row>
    <row r="30" spans="1:14" s="11" customFormat="1" ht="42" customHeight="1">
      <c r="A30" s="5" t="s">
        <v>122</v>
      </c>
      <c r="B30" s="5" t="s">
        <v>16</v>
      </c>
      <c r="C30" s="5" t="s">
        <v>123</v>
      </c>
      <c r="D30" s="6" t="s">
        <v>1758</v>
      </c>
      <c r="E30" s="7" t="s">
        <v>1785</v>
      </c>
      <c r="F30" s="12" t="s">
        <v>124</v>
      </c>
      <c r="G30" s="12" t="s">
        <v>125</v>
      </c>
      <c r="H30" s="12" t="s">
        <v>126</v>
      </c>
      <c r="I30" s="12" t="s">
        <v>21</v>
      </c>
      <c r="J30" s="12" t="s">
        <v>127</v>
      </c>
      <c r="K30" s="12" t="s">
        <v>128</v>
      </c>
      <c r="L30" s="7"/>
      <c r="M30" s="23" t="str">
        <f>HYPERLINK("https://www.worldrobotconference.com/expo/company/558.html","https://www.worldrobotconference.com/expo/company/558.html")</f>
        <v>https://www.worldrobotconference.com/expo/company/558.html</v>
      </c>
      <c r="N30" s="8"/>
    </row>
    <row r="31" spans="1:14" s="11" customFormat="1" ht="42" customHeight="1">
      <c r="A31" s="5" t="s">
        <v>101</v>
      </c>
      <c r="B31" s="5" t="s">
        <v>16</v>
      </c>
      <c r="C31" s="5" t="s">
        <v>102</v>
      </c>
      <c r="D31" s="6" t="s">
        <v>1758</v>
      </c>
      <c r="E31" s="7" t="s">
        <v>1785</v>
      </c>
      <c r="F31" s="12" t="s">
        <v>103</v>
      </c>
      <c r="G31" s="12" t="s">
        <v>104</v>
      </c>
      <c r="H31" s="12" t="s">
        <v>105</v>
      </c>
      <c r="I31" s="12" t="s">
        <v>21</v>
      </c>
      <c r="J31" s="12" t="s">
        <v>106</v>
      </c>
      <c r="K31" s="12" t="s">
        <v>107</v>
      </c>
      <c r="L31" s="7"/>
      <c r="M31" s="23" t="str">
        <f>HYPERLINK("https://www.worldrobotconference.com/expo/company/418.html","https://www.worldrobotconference.com/expo/company/418.html")</f>
        <v>https://www.worldrobotconference.com/expo/company/418.html</v>
      </c>
      <c r="N31" s="8"/>
    </row>
    <row r="32" spans="1:14" s="11" customFormat="1" ht="42" customHeight="1">
      <c r="A32" s="5" t="s">
        <v>181</v>
      </c>
      <c r="B32" s="5" t="s">
        <v>16</v>
      </c>
      <c r="C32" s="5" t="s">
        <v>182</v>
      </c>
      <c r="D32" s="6" t="s">
        <v>1758</v>
      </c>
      <c r="E32" s="7" t="s">
        <v>1785</v>
      </c>
      <c r="F32" s="12" t="s">
        <v>183</v>
      </c>
      <c r="G32" s="12" t="s">
        <v>184</v>
      </c>
      <c r="H32" s="12" t="s">
        <v>185</v>
      </c>
      <c r="I32" s="12" t="s">
        <v>21</v>
      </c>
      <c r="J32" s="12" t="s">
        <v>186</v>
      </c>
      <c r="K32" s="12" t="s">
        <v>187</v>
      </c>
      <c r="L32" s="7"/>
      <c r="M32" s="23" t="str">
        <f>HYPERLINK("https://www.worldrobotconference.com/expo/company/639.html","https://www.worldrobotconference.com/expo/company/639.html")</f>
        <v>https://www.worldrobotconference.com/expo/company/639.html</v>
      </c>
      <c r="N32" s="8"/>
    </row>
    <row r="33" spans="1:14" s="11" customFormat="1" ht="42" customHeight="1">
      <c r="A33" s="5" t="s">
        <v>129</v>
      </c>
      <c r="B33" s="5" t="s">
        <v>16</v>
      </c>
      <c r="C33" s="5" t="s">
        <v>130</v>
      </c>
      <c r="D33" s="6" t="s">
        <v>1758</v>
      </c>
      <c r="E33" s="7" t="s">
        <v>1785</v>
      </c>
      <c r="F33" s="12" t="s">
        <v>131</v>
      </c>
      <c r="G33" s="12" t="s">
        <v>132</v>
      </c>
      <c r="H33" s="12" t="s">
        <v>133</v>
      </c>
      <c r="I33" s="12" t="s">
        <v>21</v>
      </c>
      <c r="J33" s="12" t="s">
        <v>134</v>
      </c>
      <c r="K33" s="12" t="s">
        <v>135</v>
      </c>
      <c r="L33" s="7"/>
      <c r="M33" s="23" t="str">
        <f>HYPERLINK("https://www.worldrobotconference.com/expo/company/640.html","https://www.worldrobotconference.com/expo/company/640.html")</f>
        <v>https://www.worldrobotconference.com/expo/company/640.html</v>
      </c>
      <c r="N33" s="8"/>
    </row>
    <row r="34" spans="1:14" s="11" customFormat="1" ht="42" customHeight="1">
      <c r="A34" s="5" t="s">
        <v>188</v>
      </c>
      <c r="B34" s="6" t="s">
        <v>16</v>
      </c>
      <c r="C34" s="6" t="s">
        <v>189</v>
      </c>
      <c r="D34" s="6" t="s">
        <v>1759</v>
      </c>
      <c r="E34" s="7" t="s">
        <v>1785</v>
      </c>
      <c r="F34" s="12" t="s">
        <v>190</v>
      </c>
      <c r="G34" s="12" t="s">
        <v>191</v>
      </c>
      <c r="H34" s="12" t="s">
        <v>192</v>
      </c>
      <c r="I34" s="12" t="s">
        <v>21</v>
      </c>
      <c r="J34" s="12" t="s">
        <v>193</v>
      </c>
      <c r="K34" s="12" t="s">
        <v>194</v>
      </c>
      <c r="L34" s="6"/>
      <c r="M34" s="23" t="str">
        <f>HYPERLINK("https://www.worldrobotconference.com/expo/company/597.html","https://www.worldrobotconference.com/expo/company/597.html")</f>
        <v>https://www.worldrobotconference.com/expo/company/597.html</v>
      </c>
      <c r="N34" s="6"/>
    </row>
    <row r="35" spans="1:14" s="11" customFormat="1" ht="42" customHeight="1">
      <c r="A35" s="5" t="s">
        <v>340</v>
      </c>
      <c r="B35" s="6" t="s">
        <v>16</v>
      </c>
      <c r="C35" s="6" t="s">
        <v>341</v>
      </c>
      <c r="D35" s="6" t="s">
        <v>1760</v>
      </c>
      <c r="E35" s="7" t="s">
        <v>1785</v>
      </c>
      <c r="F35" s="12" t="s">
        <v>342</v>
      </c>
      <c r="G35" s="12" t="s">
        <v>343</v>
      </c>
      <c r="H35" s="12" t="s">
        <v>344</v>
      </c>
      <c r="I35" s="12" t="s">
        <v>21</v>
      </c>
      <c r="J35" s="12" t="s">
        <v>345</v>
      </c>
      <c r="K35" s="12" t="s">
        <v>346</v>
      </c>
      <c r="L35" s="7"/>
      <c r="M35" s="23" t="str">
        <f>HYPERLINK("https://www.worldrobotconference.com/expo/company/573.html","https://www.worldrobotconference.com/expo/company/573.html")</f>
        <v>https://www.worldrobotconference.com/expo/company/573.html</v>
      </c>
      <c r="N35" s="8"/>
    </row>
    <row r="36" spans="1:14" s="11" customFormat="1" ht="42" customHeight="1">
      <c r="A36" s="5" t="s">
        <v>250</v>
      </c>
      <c r="B36" s="5" t="s">
        <v>74</v>
      </c>
      <c r="C36" s="5" t="s">
        <v>251</v>
      </c>
      <c r="D36" s="6" t="s">
        <v>1758</v>
      </c>
      <c r="E36" s="7" t="s">
        <v>1785</v>
      </c>
      <c r="F36" s="12" t="s">
        <v>252</v>
      </c>
      <c r="G36" s="12" t="s">
        <v>253</v>
      </c>
      <c r="H36" s="12" t="s">
        <v>254</v>
      </c>
      <c r="I36" s="12" t="s">
        <v>21</v>
      </c>
      <c r="J36" s="12" t="s">
        <v>255</v>
      </c>
      <c r="K36" s="12" t="s">
        <v>256</v>
      </c>
      <c r="L36" s="7" t="s">
        <v>257</v>
      </c>
      <c r="M36" s="23" t="str">
        <f>HYPERLINK("https://www.worldrobotconference.com/expo/company/426.html","https://www.worldrobotconference.com/expo/company/426.html")</f>
        <v>https://www.worldrobotconference.com/expo/company/426.html</v>
      </c>
      <c r="N36" s="8"/>
    </row>
    <row r="37" spans="1:14" s="11" customFormat="1" ht="42" customHeight="1">
      <c r="A37" s="5" t="s">
        <v>195</v>
      </c>
      <c r="B37" s="6" t="s">
        <v>74</v>
      </c>
      <c r="C37" s="6" t="s">
        <v>196</v>
      </c>
      <c r="D37" s="6" t="s">
        <v>1760</v>
      </c>
      <c r="E37" s="7" t="s">
        <v>1785</v>
      </c>
      <c r="F37" s="12" t="s">
        <v>197</v>
      </c>
      <c r="G37" s="12" t="s">
        <v>198</v>
      </c>
      <c r="H37" s="12" t="s">
        <v>199</v>
      </c>
      <c r="I37" s="12" t="s">
        <v>21</v>
      </c>
      <c r="J37" s="12" t="s">
        <v>200</v>
      </c>
      <c r="K37" s="12" t="s">
        <v>201</v>
      </c>
      <c r="L37" s="6" t="s">
        <v>202</v>
      </c>
      <c r="M37" s="22" t="str">
        <f>HYPERLINK("https://www.worldrobotconference.com/expo/company/401.html","https://www.worldrobotconference.com/expo/company/401.html")</f>
        <v>https://www.worldrobotconference.com/expo/company/401.html</v>
      </c>
      <c r="N37" s="6"/>
    </row>
    <row r="38" spans="1:14" s="11" customFormat="1" ht="42" customHeight="1">
      <c r="A38" s="5" t="s">
        <v>203</v>
      </c>
      <c r="B38" s="5" t="s">
        <v>74</v>
      </c>
      <c r="C38" s="5" t="s">
        <v>204</v>
      </c>
      <c r="D38" s="6" t="s">
        <v>1763</v>
      </c>
      <c r="E38" s="7" t="s">
        <v>1785</v>
      </c>
      <c r="F38" s="12" t="s">
        <v>205</v>
      </c>
      <c r="G38" s="12" t="s">
        <v>84</v>
      </c>
      <c r="H38" s="12" t="s">
        <v>84</v>
      </c>
      <c r="I38" s="12" t="s">
        <v>85</v>
      </c>
      <c r="J38" s="12" t="s">
        <v>206</v>
      </c>
      <c r="K38" s="12" t="s">
        <v>207</v>
      </c>
      <c r="L38" s="7"/>
      <c r="M38" s="23" t="str">
        <f>HYPERLINK("https://www.worldrobotconference.com/expo/company/662.html","https://www.worldrobotconference.com/expo/company/662.html")</f>
        <v>https://www.worldrobotconference.com/expo/company/662.html</v>
      </c>
      <c r="N38" s="8"/>
    </row>
    <row r="39" spans="1:14" s="11" customFormat="1" ht="42" customHeight="1">
      <c r="A39" s="5" t="s">
        <v>292</v>
      </c>
      <c r="B39" s="5" t="s">
        <v>74</v>
      </c>
      <c r="C39" s="5" t="s">
        <v>293</v>
      </c>
      <c r="D39" s="6" t="s">
        <v>1759</v>
      </c>
      <c r="E39" s="7" t="s">
        <v>1785</v>
      </c>
      <c r="F39" s="12" t="s">
        <v>294</v>
      </c>
      <c r="G39" s="12" t="s">
        <v>295</v>
      </c>
      <c r="H39" s="12" t="s">
        <v>296</v>
      </c>
      <c r="I39" s="12" t="s">
        <v>21</v>
      </c>
      <c r="J39" s="12" t="s">
        <v>297</v>
      </c>
      <c r="K39" s="12" t="s">
        <v>298</v>
      </c>
      <c r="L39" s="7"/>
      <c r="M39" s="23" t="str">
        <f>HYPERLINK("https://www.worldrobotconference.com/expo/company/430.html","https://www.worldrobotconference.com/expo/company/430.html")</f>
        <v>https://www.worldrobotconference.com/expo/company/430.html</v>
      </c>
      <c r="N39" s="8"/>
    </row>
    <row r="40" spans="1:14" s="11" customFormat="1" ht="42" customHeight="1">
      <c r="A40" s="5" t="s">
        <v>299</v>
      </c>
      <c r="B40" s="5" t="s">
        <v>74</v>
      </c>
      <c r="C40" s="5" t="s">
        <v>300</v>
      </c>
      <c r="D40" s="6" t="s">
        <v>1760</v>
      </c>
      <c r="E40" s="7" t="s">
        <v>1785</v>
      </c>
      <c r="F40" s="12" t="s">
        <v>301</v>
      </c>
      <c r="G40" s="12" t="s">
        <v>302</v>
      </c>
      <c r="H40" s="12" t="s">
        <v>303</v>
      </c>
      <c r="I40" s="12" t="s">
        <v>21</v>
      </c>
      <c r="J40" s="12" t="s">
        <v>304</v>
      </c>
      <c r="K40" s="12" t="s">
        <v>305</v>
      </c>
      <c r="L40" s="7"/>
      <c r="M40" s="23" t="str">
        <f>HYPERLINK("https://www.worldrobotconference.com/expo/company/405.html","https://www.worldrobotconference.com/expo/company/405.html")</f>
        <v>https://www.worldrobotconference.com/expo/company/405.html</v>
      </c>
      <c r="N40" s="8"/>
    </row>
    <row r="41" spans="1:14" s="11" customFormat="1" ht="42" customHeight="1">
      <c r="A41" s="5" t="s">
        <v>163</v>
      </c>
      <c r="B41" s="5" t="s">
        <v>74</v>
      </c>
      <c r="C41" s="5" t="s">
        <v>164</v>
      </c>
      <c r="D41" s="6" t="s">
        <v>1763</v>
      </c>
      <c r="E41" s="7" t="s">
        <v>1785</v>
      </c>
      <c r="F41" s="12" t="s">
        <v>165</v>
      </c>
      <c r="G41" s="12" t="s">
        <v>84</v>
      </c>
      <c r="H41" s="12" t="s">
        <v>84</v>
      </c>
      <c r="I41" s="12" t="s">
        <v>85</v>
      </c>
      <c r="J41" s="12" t="s">
        <v>166</v>
      </c>
      <c r="K41" s="12" t="s">
        <v>167</v>
      </c>
      <c r="L41" s="7"/>
      <c r="M41" s="23" t="str">
        <f>HYPERLINK("https://www.worldrobotconference.com/expo/company/539.html","https://www.worldrobotconference.com/expo/company/539.html")</f>
        <v>https://www.worldrobotconference.com/expo/company/539.html</v>
      </c>
      <c r="N41" s="8"/>
    </row>
    <row r="42" spans="1:14" s="11" customFormat="1" ht="42" customHeight="1">
      <c r="A42" s="5" t="s">
        <v>208</v>
      </c>
      <c r="B42" s="5" t="s">
        <v>74</v>
      </c>
      <c r="C42" s="5" t="s">
        <v>209</v>
      </c>
      <c r="D42" s="6" t="s">
        <v>1758</v>
      </c>
      <c r="E42" s="7" t="s">
        <v>1785</v>
      </c>
      <c r="F42" s="12" t="s">
        <v>210</v>
      </c>
      <c r="G42" s="12" t="s">
        <v>84</v>
      </c>
      <c r="H42" s="12" t="s">
        <v>84</v>
      </c>
      <c r="I42" s="12" t="s">
        <v>85</v>
      </c>
      <c r="J42" s="12" t="s">
        <v>211</v>
      </c>
      <c r="K42" s="12" t="s">
        <v>212</v>
      </c>
      <c r="L42" s="7"/>
      <c r="M42" s="23" t="str">
        <f>HYPERLINK("https://www.worldrobotconference.com/expo/company/685.html","https://www.worldrobotconference.com/expo/company/685.html")</f>
        <v>https://www.worldrobotconference.com/expo/company/685.html</v>
      </c>
      <c r="N42" s="8"/>
    </row>
    <row r="43" spans="1:14" s="11" customFormat="1" ht="42" customHeight="1">
      <c r="A43" s="5" t="s">
        <v>213</v>
      </c>
      <c r="B43" s="5" t="s">
        <v>74</v>
      </c>
      <c r="C43" s="5" t="s">
        <v>214</v>
      </c>
      <c r="D43" s="6" t="s">
        <v>1758</v>
      </c>
      <c r="E43" s="7" t="s">
        <v>1785</v>
      </c>
      <c r="F43" s="12" t="s">
        <v>215</v>
      </c>
      <c r="G43" s="12" t="s">
        <v>216</v>
      </c>
      <c r="H43" s="12" t="s">
        <v>217</v>
      </c>
      <c r="I43" s="12" t="s">
        <v>21</v>
      </c>
      <c r="J43" s="12" t="s">
        <v>218</v>
      </c>
      <c r="K43" s="12" t="s">
        <v>219</v>
      </c>
      <c r="L43" s="7"/>
      <c r="M43" s="23" t="str">
        <f>HYPERLINK("https://www.worldrobotconference.com/expo/company/689.html","https://www.worldrobotconference.com/expo/company/689.html")</f>
        <v>https://www.worldrobotconference.com/expo/company/689.html</v>
      </c>
      <c r="N43" s="8"/>
    </row>
    <row r="44" spans="1:14" s="11" customFormat="1" ht="42" customHeight="1">
      <c r="A44" s="5" t="s">
        <v>220</v>
      </c>
      <c r="B44" s="5" t="s">
        <v>74</v>
      </c>
      <c r="C44" s="5" t="s">
        <v>221</v>
      </c>
      <c r="D44" s="6" t="s">
        <v>1758</v>
      </c>
      <c r="E44" s="7" t="s">
        <v>1785</v>
      </c>
      <c r="F44" s="12" t="s">
        <v>222</v>
      </c>
      <c r="G44" s="12" t="s">
        <v>223</v>
      </c>
      <c r="H44" s="12" t="s">
        <v>1761</v>
      </c>
      <c r="I44" s="12" t="s">
        <v>21</v>
      </c>
      <c r="J44" s="12" t="s">
        <v>224</v>
      </c>
      <c r="K44" s="12" t="s">
        <v>225</v>
      </c>
      <c r="L44" s="7"/>
      <c r="M44" s="23" t="str">
        <f>HYPERLINK("https://www.worldrobotconference.com/expo/company/549.html","https://www.worldrobotconference.com/expo/company/549.html")</f>
        <v>https://www.worldrobotconference.com/expo/company/549.html</v>
      </c>
      <c r="N44" s="8"/>
    </row>
    <row r="45" spans="1:14" s="11" customFormat="1" ht="42" customHeight="1">
      <c r="A45" s="5" t="s">
        <v>226</v>
      </c>
      <c r="B45" s="5" t="s">
        <v>74</v>
      </c>
      <c r="C45" s="5" t="s">
        <v>227</v>
      </c>
      <c r="D45" s="6" t="s">
        <v>1758</v>
      </c>
      <c r="E45" s="7" t="s">
        <v>1785</v>
      </c>
      <c r="F45" s="12" t="s">
        <v>228</v>
      </c>
      <c r="G45" s="12" t="s">
        <v>84</v>
      </c>
      <c r="H45" s="12" t="s">
        <v>84</v>
      </c>
      <c r="I45" s="12" t="s">
        <v>21</v>
      </c>
      <c r="J45" s="12" t="s">
        <v>218</v>
      </c>
      <c r="K45" s="12" t="s">
        <v>229</v>
      </c>
      <c r="L45" s="7"/>
      <c r="M45" s="23" t="str">
        <f>HYPERLINK("https://www.worldrobotconference.com/expo/company/536.html","https://www.worldrobotconference.com/expo/company/536.html")</f>
        <v>https://www.worldrobotconference.com/expo/company/536.html</v>
      </c>
      <c r="N45" s="8"/>
    </row>
    <row r="46" spans="1:14" s="11" customFormat="1" ht="42" customHeight="1">
      <c r="A46" s="5" t="s">
        <v>230</v>
      </c>
      <c r="B46" s="5" t="s">
        <v>74</v>
      </c>
      <c r="C46" s="5" t="s">
        <v>231</v>
      </c>
      <c r="D46" s="6" t="s">
        <v>1758</v>
      </c>
      <c r="E46" s="7" t="s">
        <v>1785</v>
      </c>
      <c r="F46" s="12" t="s">
        <v>232</v>
      </c>
      <c r="G46" s="12" t="s">
        <v>233</v>
      </c>
      <c r="H46" s="12" t="s">
        <v>1762</v>
      </c>
      <c r="I46" s="12" t="s">
        <v>21</v>
      </c>
      <c r="J46" s="12" t="s">
        <v>234</v>
      </c>
      <c r="K46" s="12" t="s">
        <v>235</v>
      </c>
      <c r="L46" s="7"/>
      <c r="M46" s="23" t="str">
        <f>HYPERLINK("https://www.worldrobotconference.com/expo/company/698.html","https://www.worldrobotconference.com/expo/company/698.html")</f>
        <v>https://www.worldrobotconference.com/expo/company/698.html</v>
      </c>
      <c r="N46" s="8"/>
    </row>
    <row r="47" spans="1:14" s="11" customFormat="1" ht="42" customHeight="1">
      <c r="A47" s="5" t="s">
        <v>306</v>
      </c>
      <c r="B47" s="5" t="s">
        <v>272</v>
      </c>
      <c r="C47" s="5" t="s">
        <v>307</v>
      </c>
      <c r="D47" s="6" t="s">
        <v>1760</v>
      </c>
      <c r="E47" s="7" t="s">
        <v>1785</v>
      </c>
      <c r="F47" s="12" t="s">
        <v>308</v>
      </c>
      <c r="G47" s="12" t="s">
        <v>309</v>
      </c>
      <c r="H47" s="12" t="s">
        <v>310</v>
      </c>
      <c r="I47" s="12" t="s">
        <v>21</v>
      </c>
      <c r="J47" s="12" t="s">
        <v>311</v>
      </c>
      <c r="K47" s="12" t="s">
        <v>312</v>
      </c>
      <c r="L47" s="7"/>
      <c r="M47" s="23" t="str">
        <f>HYPERLINK("https://www.worldrobotconference.com/expo/company/396.html","https://www.worldrobotconference.com/expo/company/396.html")</f>
        <v>https://www.worldrobotconference.com/expo/company/396.html</v>
      </c>
      <c r="N47" s="8"/>
    </row>
    <row r="48" spans="1:14" s="11" customFormat="1" ht="42" customHeight="1">
      <c r="A48" s="5" t="s">
        <v>1179</v>
      </c>
      <c r="B48" s="5" t="s">
        <v>272</v>
      </c>
      <c r="C48" s="5" t="s">
        <v>1180</v>
      </c>
      <c r="D48" s="6" t="s">
        <v>1760</v>
      </c>
      <c r="E48" s="7" t="s">
        <v>1785</v>
      </c>
      <c r="F48" s="12" t="s">
        <v>1181</v>
      </c>
      <c r="G48" s="12" t="s">
        <v>1182</v>
      </c>
      <c r="H48" s="12" t="s">
        <v>1183</v>
      </c>
      <c r="I48" s="12" t="s">
        <v>21</v>
      </c>
      <c r="J48" s="12" t="s">
        <v>1184</v>
      </c>
      <c r="K48" s="12" t="s">
        <v>1185</v>
      </c>
      <c r="L48" s="7"/>
      <c r="M48" s="23" t="str">
        <f>HYPERLINK("https://www.worldrobotconference.com/expo/company/434.html","https://www.worldrobotconference.com/expo/company/434.html")</f>
        <v>https://www.worldrobotconference.com/expo/company/434.html</v>
      </c>
      <c r="N48" s="8"/>
    </row>
    <row r="49" spans="1:14" s="11" customFormat="1" ht="42" customHeight="1">
      <c r="A49" s="5" t="s">
        <v>313</v>
      </c>
      <c r="B49" s="5" t="s">
        <v>272</v>
      </c>
      <c r="C49" s="5" t="s">
        <v>314</v>
      </c>
      <c r="D49" s="6" t="s">
        <v>1758</v>
      </c>
      <c r="E49" s="7" t="s">
        <v>1785</v>
      </c>
      <c r="F49" s="12" t="s">
        <v>315</v>
      </c>
      <c r="G49" s="12" t="s">
        <v>316</v>
      </c>
      <c r="H49" s="12" t="s">
        <v>317</v>
      </c>
      <c r="I49" s="12" t="s">
        <v>21</v>
      </c>
      <c r="J49" s="12" t="s">
        <v>318</v>
      </c>
      <c r="K49" s="12" t="s">
        <v>319</v>
      </c>
      <c r="L49" s="7"/>
      <c r="M49" s="23" t="str">
        <f>HYPERLINK("https://www.worldrobotconference.com/expo/company/427.html","https://www.worldrobotconference.com/expo/company/427.html")</f>
        <v>https://www.worldrobotconference.com/expo/company/427.html</v>
      </c>
      <c r="N49" s="8"/>
    </row>
    <row r="50" spans="1:14" s="11" customFormat="1" ht="42" customHeight="1">
      <c r="A50" s="5" t="s">
        <v>271</v>
      </c>
      <c r="B50" s="5" t="s">
        <v>272</v>
      </c>
      <c r="C50" s="5" t="s">
        <v>1351</v>
      </c>
      <c r="D50" s="6" t="s">
        <v>1760</v>
      </c>
      <c r="E50" s="7" t="s">
        <v>1785</v>
      </c>
      <c r="F50" s="12" t="s">
        <v>1352</v>
      </c>
      <c r="G50" s="12" t="s">
        <v>1353</v>
      </c>
      <c r="H50" s="12" t="s">
        <v>1354</v>
      </c>
      <c r="I50" s="12" t="s">
        <v>21</v>
      </c>
      <c r="J50" s="12" t="s">
        <v>1184</v>
      </c>
      <c r="K50" s="12" t="s">
        <v>1355</v>
      </c>
      <c r="L50" s="7"/>
      <c r="M50" s="23" t="str">
        <f>HYPERLINK("https://www.worldrobotconference.com/expo/company/446.html","https://www.worldrobotconference.com/expo/company/446.html")</f>
        <v>https://www.worldrobotconference.com/expo/company/446.html</v>
      </c>
      <c r="N50" s="8"/>
    </row>
    <row r="51" spans="1:14" s="11" customFormat="1" ht="42" customHeight="1">
      <c r="A51" s="5" t="s">
        <v>1362</v>
      </c>
      <c r="B51" s="5" t="s">
        <v>272</v>
      </c>
      <c r="C51" s="5" t="s">
        <v>273</v>
      </c>
      <c r="D51" s="6" t="s">
        <v>1759</v>
      </c>
      <c r="E51" s="7" t="s">
        <v>1785</v>
      </c>
      <c r="F51" s="12" t="s">
        <v>274</v>
      </c>
      <c r="G51" s="12" t="s">
        <v>275</v>
      </c>
      <c r="H51" s="12" t="s">
        <v>276</v>
      </c>
      <c r="I51" s="12" t="s">
        <v>21</v>
      </c>
      <c r="J51" s="12" t="s">
        <v>22</v>
      </c>
      <c r="K51" s="12" t="s">
        <v>277</v>
      </c>
      <c r="L51" s="7"/>
      <c r="M51" s="23" t="str">
        <f>HYPERLINK("https://www.worldrobotconference.com/expo/company/399.html","https://www.worldrobotconference.com/expo/company/399.html")</f>
        <v>https://www.worldrobotconference.com/expo/company/399.html</v>
      </c>
      <c r="N51" s="8"/>
    </row>
    <row r="52" spans="1:14" s="11" customFormat="1" ht="42" customHeight="1">
      <c r="A52" s="5" t="s">
        <v>1387</v>
      </c>
      <c r="B52" s="5" t="s">
        <v>272</v>
      </c>
      <c r="C52" s="5" t="s">
        <v>321</v>
      </c>
      <c r="D52" s="6" t="s">
        <v>1760</v>
      </c>
      <c r="E52" s="7" t="s">
        <v>1785</v>
      </c>
      <c r="F52" s="12" t="s">
        <v>322</v>
      </c>
      <c r="G52" s="12" t="s">
        <v>323</v>
      </c>
      <c r="H52" s="12" t="s">
        <v>324</v>
      </c>
      <c r="I52" s="12" t="s">
        <v>21</v>
      </c>
      <c r="J52" s="12" t="s">
        <v>325</v>
      </c>
      <c r="K52" s="12" t="s">
        <v>326</v>
      </c>
      <c r="L52" s="7"/>
      <c r="M52" s="23" t="str">
        <f>HYPERLINK("https://www.worldrobotconference.com/expo/company/441.html","https://www.worldrobotconference.com/expo/company/441.html")</f>
        <v>https://www.worldrobotconference.com/expo/company/441.html</v>
      </c>
      <c r="N52" s="8"/>
    </row>
    <row r="53" spans="1:14" s="11" customFormat="1" ht="42" customHeight="1">
      <c r="A53" s="5" t="s">
        <v>1408</v>
      </c>
      <c r="B53" s="5" t="s">
        <v>272</v>
      </c>
      <c r="C53" s="5" t="s">
        <v>1388</v>
      </c>
      <c r="D53" s="6" t="s">
        <v>1760</v>
      </c>
      <c r="E53" s="7" t="s">
        <v>1785</v>
      </c>
      <c r="F53" s="12" t="s">
        <v>1389</v>
      </c>
      <c r="G53" s="12" t="s">
        <v>1390</v>
      </c>
      <c r="H53" s="12" t="s">
        <v>1391</v>
      </c>
      <c r="I53" s="12" t="s">
        <v>21</v>
      </c>
      <c r="J53" s="12" t="s">
        <v>1392</v>
      </c>
      <c r="K53" s="12" t="s">
        <v>1393</v>
      </c>
      <c r="L53" s="7"/>
      <c r="M53" s="23" t="str">
        <f>HYPERLINK("https://www.worldrobotconference.com/expo/company/437.html","https://www.worldrobotconference.com/expo/company/437.html")</f>
        <v>https://www.worldrobotconference.com/expo/company/437.html</v>
      </c>
      <c r="N53" s="8"/>
    </row>
    <row r="54" spans="1:14" s="11" customFormat="1" ht="42" customHeight="1">
      <c r="A54" s="5" t="s">
        <v>1420</v>
      </c>
      <c r="B54" s="6" t="s">
        <v>272</v>
      </c>
      <c r="C54" s="6" t="s">
        <v>1402</v>
      </c>
      <c r="D54" s="6" t="s">
        <v>1760</v>
      </c>
      <c r="E54" s="6" t="s">
        <v>1785</v>
      </c>
      <c r="F54" s="12" t="s">
        <v>1403</v>
      </c>
      <c r="G54" s="12" t="s">
        <v>1404</v>
      </c>
      <c r="H54" s="12" t="s">
        <v>1405</v>
      </c>
      <c r="I54" s="12" t="s">
        <v>21</v>
      </c>
      <c r="J54" s="12" t="s">
        <v>1406</v>
      </c>
      <c r="K54" s="12" t="s">
        <v>1407</v>
      </c>
      <c r="L54" s="6"/>
      <c r="M54" s="23" t="str">
        <f>HYPERLINK("https://www.worldrobotconference.com/expo/company/462.html","https://www.worldrobotconference.com/expo/company/462.html")</f>
        <v>https://www.worldrobotconference.com/expo/company/462.html</v>
      </c>
      <c r="N54" s="6"/>
    </row>
    <row r="55" spans="1:14" s="11" customFormat="1" ht="42" customHeight="1">
      <c r="A55" s="5" t="s">
        <v>1490</v>
      </c>
      <c r="B55" s="5" t="s">
        <v>272</v>
      </c>
      <c r="C55" s="5" t="s">
        <v>328</v>
      </c>
      <c r="D55" s="6" t="s">
        <v>1760</v>
      </c>
      <c r="E55" s="7" t="s">
        <v>1785</v>
      </c>
      <c r="F55" s="12" t="s">
        <v>329</v>
      </c>
      <c r="G55" s="12" t="s">
        <v>330</v>
      </c>
      <c r="H55" s="12" t="s">
        <v>331</v>
      </c>
      <c r="I55" s="12" t="s">
        <v>21</v>
      </c>
      <c r="J55" s="12" t="s">
        <v>22</v>
      </c>
      <c r="K55" s="12" t="s">
        <v>332</v>
      </c>
      <c r="L55" s="7"/>
      <c r="M55" s="23" t="str">
        <f>HYPERLINK("https://www.worldrobotconference.com/expo/company/433.html","https://www.worldrobotconference.com/expo/company/433.html")</f>
        <v>https://www.worldrobotconference.com/expo/company/433.html</v>
      </c>
      <c r="N55" s="8"/>
    </row>
    <row r="56" spans="1:14" s="11" customFormat="1" ht="42" customHeight="1">
      <c r="A56" s="5" t="s">
        <v>361</v>
      </c>
      <c r="B56" s="5" t="s">
        <v>16</v>
      </c>
      <c r="C56" s="5" t="s">
        <v>84</v>
      </c>
      <c r="D56" s="6"/>
      <c r="E56" s="7"/>
      <c r="F56" s="12" t="s">
        <v>362</v>
      </c>
      <c r="G56" s="12" t="s">
        <v>363</v>
      </c>
      <c r="H56" s="12" t="s">
        <v>364</v>
      </c>
      <c r="I56" s="12" t="s">
        <v>21</v>
      </c>
      <c r="J56" s="12" t="s">
        <v>365</v>
      </c>
      <c r="K56" s="12" t="s">
        <v>366</v>
      </c>
      <c r="L56" s="7" t="s">
        <v>367</v>
      </c>
      <c r="M56" s="23" t="str">
        <f>HYPERLINK("https://www.worldrobotconference.com/expo/","https://www.worldrobotconference.com/expo/")</f>
        <v>https://www.worldrobotconference.com/expo/</v>
      </c>
      <c r="N56" s="8"/>
    </row>
    <row r="57" spans="1:14" s="11" customFormat="1" ht="42" customHeight="1">
      <c r="A57" s="5" t="s">
        <v>368</v>
      </c>
      <c r="B57" s="5" t="s">
        <v>16</v>
      </c>
      <c r="C57" s="5" t="s">
        <v>84</v>
      </c>
      <c r="D57" s="6"/>
      <c r="E57" s="7"/>
      <c r="F57" s="12" t="s">
        <v>369</v>
      </c>
      <c r="G57" s="12" t="s">
        <v>370</v>
      </c>
      <c r="H57" s="12" t="s">
        <v>371</v>
      </c>
      <c r="I57" s="12" t="s">
        <v>21</v>
      </c>
      <c r="J57" s="12" t="s">
        <v>372</v>
      </c>
      <c r="K57" s="12" t="s">
        <v>373</v>
      </c>
      <c r="L57" s="7" t="s">
        <v>374</v>
      </c>
      <c r="M57" s="23" t="str">
        <f>HYPERLINK("https://www.worldrobotconference.com/expo/company/611.html","https://www.worldrobotconference.com/expo/company/611.html")</f>
        <v>https://www.worldrobotconference.com/expo/company/611.html</v>
      </c>
      <c r="N57" s="8"/>
    </row>
    <row r="58" spans="1:14" s="11" customFormat="1" ht="42" customHeight="1">
      <c r="A58" s="5" t="s">
        <v>375</v>
      </c>
      <c r="B58" s="5" t="s">
        <v>74</v>
      </c>
      <c r="C58" s="5" t="s">
        <v>84</v>
      </c>
      <c r="D58" s="6"/>
      <c r="E58" s="7"/>
      <c r="F58" s="12" t="s">
        <v>369</v>
      </c>
      <c r="G58" s="12" t="s">
        <v>370</v>
      </c>
      <c r="H58" s="12" t="s">
        <v>376</v>
      </c>
      <c r="I58" s="12" t="s">
        <v>21</v>
      </c>
      <c r="J58" s="12" t="s">
        <v>372</v>
      </c>
      <c r="K58" s="12" t="s">
        <v>373</v>
      </c>
      <c r="L58" s="7" t="s">
        <v>374</v>
      </c>
      <c r="M58" s="23" t="str">
        <f>HYPERLINK("https://www.worldrobotconference.com/expo/company/611.html","https://www.worldrobotconference.com/expo/company/611.html")</f>
        <v>https://www.worldrobotconference.com/expo/company/611.html</v>
      </c>
      <c r="N58" s="8"/>
    </row>
    <row r="59" spans="1:14" s="11" customFormat="1" ht="42" customHeight="1">
      <c r="A59" s="5" t="s">
        <v>377</v>
      </c>
      <c r="B59" s="5" t="s">
        <v>74</v>
      </c>
      <c r="C59" s="5" t="s">
        <v>84</v>
      </c>
      <c r="D59" s="6"/>
      <c r="E59" s="7"/>
      <c r="F59" s="12" t="s">
        <v>378</v>
      </c>
      <c r="G59" s="12" t="s">
        <v>379</v>
      </c>
      <c r="H59" s="12" t="s">
        <v>380</v>
      </c>
      <c r="I59" s="12" t="s">
        <v>21</v>
      </c>
      <c r="J59" s="12" t="s">
        <v>381</v>
      </c>
      <c r="K59" s="12" t="s">
        <v>382</v>
      </c>
      <c r="L59" s="7" t="s">
        <v>374</v>
      </c>
      <c r="M59" s="23" t="str">
        <f>HYPERLINK("https://www.worldrobotconference.com/expo/","https://www.worldrobotconference.com/expo/")</f>
        <v>https://www.worldrobotconference.com/expo/</v>
      </c>
      <c r="N59" s="8"/>
    </row>
    <row r="60" spans="1:14" s="11" customFormat="1" ht="42" customHeight="1">
      <c r="A60" s="5" t="s">
        <v>383</v>
      </c>
      <c r="B60" s="5" t="s">
        <v>272</v>
      </c>
      <c r="C60" s="5" t="s">
        <v>84</v>
      </c>
      <c r="D60" s="6"/>
      <c r="E60" s="7"/>
      <c r="F60" s="12" t="s">
        <v>362</v>
      </c>
      <c r="G60" s="12" t="s">
        <v>363</v>
      </c>
      <c r="H60" s="12" t="s">
        <v>364</v>
      </c>
      <c r="I60" s="12" t="s">
        <v>21</v>
      </c>
      <c r="J60" s="12" t="s">
        <v>365</v>
      </c>
      <c r="K60" s="12" t="s">
        <v>366</v>
      </c>
      <c r="L60" s="7" t="s">
        <v>367</v>
      </c>
      <c r="M60" s="23" t="str">
        <f>HYPERLINK("https://www.worldrobotconference.com/expo/","https://www.worldrobotconference.com/expo/")</f>
        <v>https://www.worldrobotconference.com/expo/</v>
      </c>
      <c r="N60" s="8"/>
    </row>
    <row r="61" spans="1:14" s="11" customFormat="1" ht="42" customHeight="1">
      <c r="A61" s="5" t="s">
        <v>384</v>
      </c>
      <c r="B61" s="5" t="s">
        <v>16</v>
      </c>
      <c r="C61" s="5" t="s">
        <v>385</v>
      </c>
      <c r="D61" s="6"/>
      <c r="E61" s="7"/>
      <c r="F61" s="12" t="s">
        <v>386</v>
      </c>
      <c r="G61" s="12" t="s">
        <v>387</v>
      </c>
      <c r="H61" s="12" t="s">
        <v>388</v>
      </c>
      <c r="I61" s="12" t="s">
        <v>21</v>
      </c>
      <c r="J61" s="12" t="s">
        <v>389</v>
      </c>
      <c r="K61" s="12" t="s">
        <v>390</v>
      </c>
      <c r="L61" s="7"/>
      <c r="M61" s="23" t="str">
        <f>HYPERLINK("https://www.worldrobotconference.com/expo/company/613.html","https://www.worldrobotconference.com/expo/company/613.html")</f>
        <v>https://www.worldrobotconference.com/expo/company/613.html</v>
      </c>
      <c r="N61" s="8"/>
    </row>
    <row r="62" spans="1:14" s="11" customFormat="1" ht="42" customHeight="1">
      <c r="A62" s="5" t="s">
        <v>391</v>
      </c>
      <c r="B62" s="5" t="s">
        <v>16</v>
      </c>
      <c r="C62" s="5" t="s">
        <v>392</v>
      </c>
      <c r="D62" s="6"/>
      <c r="E62" s="7"/>
      <c r="F62" s="12" t="s">
        <v>393</v>
      </c>
      <c r="G62" s="12" t="s">
        <v>394</v>
      </c>
      <c r="H62" s="12" t="s">
        <v>395</v>
      </c>
      <c r="I62" s="12" t="s">
        <v>21</v>
      </c>
      <c r="J62" s="12" t="s">
        <v>396</v>
      </c>
      <c r="K62" s="12" t="s">
        <v>397</v>
      </c>
      <c r="L62" s="7"/>
      <c r="M62" s="23" t="str">
        <f>HYPERLINK("https://www.worldrobotconference.com/expo/company/615.html","https://www.worldrobotconference.com/expo/company/615.html")</f>
        <v>https://www.worldrobotconference.com/expo/company/615.html</v>
      </c>
      <c r="N62" s="8"/>
    </row>
    <row r="63" spans="1:14" s="11" customFormat="1" ht="42" customHeight="1">
      <c r="A63" s="5" t="s">
        <v>398</v>
      </c>
      <c r="B63" s="5" t="s">
        <v>16</v>
      </c>
      <c r="C63" s="5" t="s">
        <v>399</v>
      </c>
      <c r="D63" s="6"/>
      <c r="E63" s="7"/>
      <c r="F63" s="12" t="s">
        <v>400</v>
      </c>
      <c r="G63" s="12" t="s">
        <v>401</v>
      </c>
      <c r="H63" s="12" t="s">
        <v>402</v>
      </c>
      <c r="I63" s="12" t="s">
        <v>21</v>
      </c>
      <c r="J63" s="12" t="s">
        <v>403</v>
      </c>
      <c r="K63" s="12" t="s">
        <v>404</v>
      </c>
      <c r="L63" s="7" t="s">
        <v>405</v>
      </c>
      <c r="M63" s="23" t="str">
        <f>HYPERLINK("https://www.worldrobotconference.com/expo/","https://www.worldrobotconference.com/expo/")</f>
        <v>https://www.worldrobotconference.com/expo/</v>
      </c>
      <c r="N63" s="8"/>
    </row>
    <row r="64" spans="1:14" s="11" customFormat="1" ht="42" customHeight="1">
      <c r="A64" s="5" t="s">
        <v>406</v>
      </c>
      <c r="B64" s="6" t="s">
        <v>16</v>
      </c>
      <c r="C64" s="6" t="s">
        <v>407</v>
      </c>
      <c r="D64" s="6"/>
      <c r="E64" s="6"/>
      <c r="F64" s="12" t="s">
        <v>408</v>
      </c>
      <c r="G64" s="12" t="s">
        <v>409</v>
      </c>
      <c r="H64" s="12" t="s">
        <v>410</v>
      </c>
      <c r="I64" s="12" t="s">
        <v>21</v>
      </c>
      <c r="J64" s="12" t="s">
        <v>411</v>
      </c>
      <c r="K64" s="12" t="s">
        <v>412</v>
      </c>
      <c r="L64" s="6"/>
      <c r="M64" s="23" t="str">
        <f>HYPERLINK("https://www.worldrobotconference.com/expo/company/617.html","https://www.worldrobotconference.com/expo/company/617.html")</f>
        <v>https://www.worldrobotconference.com/expo/company/617.html</v>
      </c>
      <c r="N64" s="6"/>
    </row>
    <row r="65" spans="1:14" s="11" customFormat="1" ht="42" customHeight="1">
      <c r="A65" s="5" t="s">
        <v>413</v>
      </c>
      <c r="B65" s="6" t="s">
        <v>16</v>
      </c>
      <c r="C65" s="6" t="s">
        <v>414</v>
      </c>
      <c r="D65" s="6"/>
      <c r="E65" s="6"/>
      <c r="F65" s="12" t="s">
        <v>415</v>
      </c>
      <c r="G65" s="12" t="s">
        <v>416</v>
      </c>
      <c r="H65" s="12" t="s">
        <v>417</v>
      </c>
      <c r="I65" s="12" t="s">
        <v>21</v>
      </c>
      <c r="J65" s="12" t="s">
        <v>418</v>
      </c>
      <c r="K65" s="12" t="s">
        <v>419</v>
      </c>
      <c r="L65" s="6"/>
      <c r="M65" s="23" t="str">
        <f>HYPERLINK("https://www.worldrobotconference.com/expo/company/856.html","https://www.worldrobotconference.com/expo/company/856.html")</f>
        <v>https://www.worldrobotconference.com/expo/company/856.html</v>
      </c>
      <c r="N65" s="6"/>
    </row>
    <row r="66" spans="1:14" s="11" customFormat="1" ht="42" customHeight="1">
      <c r="A66" s="5" t="s">
        <v>420</v>
      </c>
      <c r="B66" s="6" t="s">
        <v>16</v>
      </c>
      <c r="C66" s="6" t="s">
        <v>421</v>
      </c>
      <c r="D66" s="6"/>
      <c r="E66" s="6"/>
      <c r="F66" s="12" t="s">
        <v>422</v>
      </c>
      <c r="G66" s="12" t="s">
        <v>423</v>
      </c>
      <c r="H66" s="12" t="s">
        <v>424</v>
      </c>
      <c r="I66" s="12" t="s">
        <v>21</v>
      </c>
      <c r="J66" s="12" t="s">
        <v>425</v>
      </c>
      <c r="K66" s="12" t="s">
        <v>426</v>
      </c>
      <c r="L66" s="6" t="s">
        <v>427</v>
      </c>
      <c r="M66" s="23" t="str">
        <f>HYPERLINK("https://www.worldrobotconference.com/expo/company/619.html","https://www.worldrobotconference.com/expo/company/619.html")</f>
        <v>https://www.worldrobotconference.com/expo/company/619.html</v>
      </c>
      <c r="N66" s="6"/>
    </row>
    <row r="67" spans="1:14" s="11" customFormat="1" ht="42" customHeight="1">
      <c r="A67" s="5" t="s">
        <v>428</v>
      </c>
      <c r="B67" s="6" t="s">
        <v>16</v>
      </c>
      <c r="C67" s="6" t="s">
        <v>429</v>
      </c>
      <c r="D67" s="6"/>
      <c r="E67" s="6"/>
      <c r="F67" s="12" t="s">
        <v>430</v>
      </c>
      <c r="G67" s="12" t="s">
        <v>431</v>
      </c>
      <c r="H67" s="12" t="s">
        <v>432</v>
      </c>
      <c r="I67" s="12" t="s">
        <v>21</v>
      </c>
      <c r="J67" s="12" t="s">
        <v>148</v>
      </c>
      <c r="K67" s="12" t="s">
        <v>433</v>
      </c>
      <c r="L67" s="6"/>
      <c r="M67" s="23" t="str">
        <f>HYPERLINK("https://www.worldrobotconference.com/expo/company/570.html","https://www.worldrobotconference.com/expo/company/570.html")</f>
        <v>https://www.worldrobotconference.com/expo/company/570.html</v>
      </c>
      <c r="N67" s="6"/>
    </row>
    <row r="68" spans="1:14" s="11" customFormat="1" ht="42" customHeight="1">
      <c r="A68" s="5" t="s">
        <v>434</v>
      </c>
      <c r="B68" s="6" t="s">
        <v>16</v>
      </c>
      <c r="C68" s="6" t="s">
        <v>435</v>
      </c>
      <c r="D68" s="6"/>
      <c r="E68" s="6"/>
      <c r="F68" s="12" t="s">
        <v>436</v>
      </c>
      <c r="G68" s="12" t="s">
        <v>437</v>
      </c>
      <c r="H68" s="12" t="s">
        <v>438</v>
      </c>
      <c r="I68" s="12" t="s">
        <v>21</v>
      </c>
      <c r="J68" s="12" t="s">
        <v>439</v>
      </c>
      <c r="K68" s="12" t="s">
        <v>440</v>
      </c>
      <c r="L68" s="6"/>
      <c r="M68" s="23" t="str">
        <f>HYPERLINK("https://www.worldrobotconference.com/expo/company/505.html","https://www.worldrobotconference.com/expo/company/505.html")</f>
        <v>https://www.worldrobotconference.com/expo/company/505.html</v>
      </c>
      <c r="N68" s="6"/>
    </row>
    <row r="69" spans="1:14" s="11" customFormat="1" ht="42" customHeight="1">
      <c r="A69" s="5" t="s">
        <v>441</v>
      </c>
      <c r="B69" s="5" t="s">
        <v>16</v>
      </c>
      <c r="C69" s="5" t="s">
        <v>442</v>
      </c>
      <c r="D69" s="6"/>
      <c r="E69" s="7"/>
      <c r="F69" s="12" t="s">
        <v>443</v>
      </c>
      <c r="G69" s="12" t="s">
        <v>444</v>
      </c>
      <c r="H69" s="12" t="s">
        <v>445</v>
      </c>
      <c r="I69" s="12" t="s">
        <v>21</v>
      </c>
      <c r="J69" s="12" t="s">
        <v>446</v>
      </c>
      <c r="K69" s="12" t="s">
        <v>447</v>
      </c>
      <c r="L69" s="7"/>
      <c r="M69" s="23" t="str">
        <f>HYPERLINK("https://www.worldrobotconference.com/expo/company/620.html","https://www.worldrobotconference.com/expo/company/620.html")</f>
        <v>https://www.worldrobotconference.com/expo/company/620.html</v>
      </c>
      <c r="N69" s="8"/>
    </row>
    <row r="70" spans="1:14" s="11" customFormat="1" ht="42" customHeight="1">
      <c r="A70" s="5" t="s">
        <v>448</v>
      </c>
      <c r="B70" s="6" t="s">
        <v>16</v>
      </c>
      <c r="C70" s="6" t="s">
        <v>449</v>
      </c>
      <c r="D70" s="6"/>
      <c r="E70" s="6"/>
      <c r="F70" s="12" t="s">
        <v>450</v>
      </c>
      <c r="G70" s="12" t="s">
        <v>451</v>
      </c>
      <c r="H70" s="12" t="s">
        <v>452</v>
      </c>
      <c r="I70" s="12" t="s">
        <v>21</v>
      </c>
      <c r="J70" s="12" t="s">
        <v>453</v>
      </c>
      <c r="K70" s="12" t="s">
        <v>454</v>
      </c>
      <c r="L70" s="6"/>
      <c r="M70" s="23" t="str">
        <f>HYPERLINK("https://www.worldrobotconference.com/expo/company/464.html","https://www.worldrobotconference.com/expo/company/464.html")</f>
        <v>https://www.worldrobotconference.com/expo/company/464.html</v>
      </c>
      <c r="N70" s="6"/>
    </row>
    <row r="71" spans="1:14" s="11" customFormat="1" ht="42" customHeight="1">
      <c r="A71" s="5" t="s">
        <v>455</v>
      </c>
      <c r="B71" s="6" t="s">
        <v>16</v>
      </c>
      <c r="C71" s="6" t="s">
        <v>456</v>
      </c>
      <c r="D71" s="6"/>
      <c r="E71" s="6"/>
      <c r="F71" s="12" t="s">
        <v>457</v>
      </c>
      <c r="G71" s="12" t="s">
        <v>458</v>
      </c>
      <c r="H71" s="12" t="s">
        <v>459</v>
      </c>
      <c r="I71" s="12" t="s">
        <v>21</v>
      </c>
      <c r="J71" s="12" t="s">
        <v>460</v>
      </c>
      <c r="K71" s="12" t="s">
        <v>461</v>
      </c>
      <c r="L71" s="6"/>
      <c r="M71" s="23" t="str">
        <f>HYPERLINK("https://www.worldrobotconference.com/expo/company/453.html","https://www.worldrobotconference.com/expo/company/453.html")</f>
        <v>https://www.worldrobotconference.com/expo/company/453.html</v>
      </c>
      <c r="N71" s="6"/>
    </row>
    <row r="72" spans="1:14" s="11" customFormat="1" ht="42" customHeight="1">
      <c r="A72" s="5" t="s">
        <v>462</v>
      </c>
      <c r="B72" s="5" t="s">
        <v>16</v>
      </c>
      <c r="C72" s="5" t="s">
        <v>463</v>
      </c>
      <c r="D72" s="6"/>
      <c r="E72" s="7"/>
      <c r="F72" s="12" t="s">
        <v>464</v>
      </c>
      <c r="G72" s="12" t="s">
        <v>465</v>
      </c>
      <c r="H72" s="12" t="s">
        <v>466</v>
      </c>
      <c r="I72" s="12" t="s">
        <v>21</v>
      </c>
      <c r="J72" s="12" t="s">
        <v>467</v>
      </c>
      <c r="K72" s="12" t="s">
        <v>468</v>
      </c>
      <c r="L72" s="7"/>
      <c r="M72" s="23" t="str">
        <f>HYPERLINK("https://www.worldrobotconference.com/expo/company/455.html","https://www.worldrobotconference.com/expo/company/455.html")</f>
        <v>https://www.worldrobotconference.com/expo/company/455.html</v>
      </c>
      <c r="N72" s="8"/>
    </row>
    <row r="73" spans="1:14" s="11" customFormat="1" ht="42" customHeight="1">
      <c r="A73" s="5" t="s">
        <v>469</v>
      </c>
      <c r="B73" s="5" t="s">
        <v>16</v>
      </c>
      <c r="C73" s="5" t="s">
        <v>470</v>
      </c>
      <c r="D73" s="6"/>
      <c r="E73" s="7"/>
      <c r="F73" s="12" t="s">
        <v>471</v>
      </c>
      <c r="G73" s="12" t="s">
        <v>472</v>
      </c>
      <c r="H73" s="12" t="s">
        <v>473</v>
      </c>
      <c r="I73" s="12" t="s">
        <v>21</v>
      </c>
      <c r="J73" s="12" t="s">
        <v>474</v>
      </c>
      <c r="K73" s="12" t="s">
        <v>475</v>
      </c>
      <c r="L73" s="7"/>
      <c r="M73" s="23" t="str">
        <f>HYPERLINK("https://www.worldrobotconference.com/expo/company/621.html","https://www.worldrobotconference.com/expo/company/621.html")</f>
        <v>https://www.worldrobotconference.com/expo/company/621.html</v>
      </c>
      <c r="N73" s="8"/>
    </row>
    <row r="74" spans="1:14" s="11" customFormat="1" ht="42" customHeight="1">
      <c r="A74" s="5" t="s">
        <v>476</v>
      </c>
      <c r="B74" s="5" t="s">
        <v>16</v>
      </c>
      <c r="C74" s="5" t="s">
        <v>477</v>
      </c>
      <c r="D74" s="6"/>
      <c r="E74" s="7"/>
      <c r="F74" s="12" t="s">
        <v>478</v>
      </c>
      <c r="G74" s="12" t="s">
        <v>479</v>
      </c>
      <c r="H74" s="12" t="s">
        <v>480</v>
      </c>
      <c r="I74" s="12" t="s">
        <v>21</v>
      </c>
      <c r="J74" s="12" t="s">
        <v>481</v>
      </c>
      <c r="K74" s="12" t="s">
        <v>482</v>
      </c>
      <c r="L74" s="7"/>
      <c r="M74" s="23" t="str">
        <f>HYPERLINK("https://www.worldrobotconference.com/expo/company/443.html","https://www.worldrobotconference.com/expo/company/443.html")</f>
        <v>https://www.worldrobotconference.com/expo/company/443.html</v>
      </c>
      <c r="N74" s="8"/>
    </row>
    <row r="75" spans="1:14" s="11" customFormat="1" ht="42" customHeight="1">
      <c r="A75" s="5" t="s">
        <v>483</v>
      </c>
      <c r="B75" s="5" t="s">
        <v>16</v>
      </c>
      <c r="C75" s="5" t="s">
        <v>484</v>
      </c>
      <c r="D75" s="6"/>
      <c r="E75" s="7"/>
      <c r="F75" s="12" t="s">
        <v>485</v>
      </c>
      <c r="G75" s="12" t="s">
        <v>486</v>
      </c>
      <c r="H75" s="12" t="s">
        <v>487</v>
      </c>
      <c r="I75" s="12" t="s">
        <v>21</v>
      </c>
      <c r="J75" s="12" t="s">
        <v>488</v>
      </c>
      <c r="K75" s="12" t="s">
        <v>489</v>
      </c>
      <c r="L75" s="7"/>
      <c r="M75" s="23" t="str">
        <f>HYPERLINK("https://www.worldrobotconference.com/expo/company/440.html","https://www.worldrobotconference.com/expo/company/440.html")</f>
        <v>https://www.worldrobotconference.com/expo/company/440.html</v>
      </c>
      <c r="N75" s="8"/>
    </row>
    <row r="76" spans="1:14" s="11" customFormat="1" ht="42" customHeight="1">
      <c r="A76" s="5" t="s">
        <v>490</v>
      </c>
      <c r="B76" s="5" t="s">
        <v>16</v>
      </c>
      <c r="C76" s="5" t="s">
        <v>491</v>
      </c>
      <c r="D76" s="6"/>
      <c r="E76" s="7"/>
      <c r="F76" s="12" t="s">
        <v>492</v>
      </c>
      <c r="G76" s="12" t="s">
        <v>493</v>
      </c>
      <c r="H76" s="12" t="s">
        <v>494</v>
      </c>
      <c r="I76" s="12" t="s">
        <v>21</v>
      </c>
      <c r="J76" s="12" t="s">
        <v>495</v>
      </c>
      <c r="K76" s="12" t="s">
        <v>496</v>
      </c>
      <c r="L76" s="7"/>
      <c r="M76" s="23" t="str">
        <f>HYPERLINK("https://www.worldrobotconference.com/expo/company/608.html","https://www.worldrobotconference.com/expo/company/608.html")</f>
        <v>https://www.worldrobotconference.com/expo/company/608.html</v>
      </c>
      <c r="N76" s="8"/>
    </row>
    <row r="77" spans="1:14" s="11" customFormat="1" ht="42" customHeight="1">
      <c r="A77" s="5" t="s">
        <v>497</v>
      </c>
      <c r="B77" s="5" t="s">
        <v>16</v>
      </c>
      <c r="C77" s="5" t="s">
        <v>498</v>
      </c>
      <c r="D77" s="6"/>
      <c r="E77" s="6"/>
      <c r="F77" s="12" t="s">
        <v>499</v>
      </c>
      <c r="G77" s="12" t="s">
        <v>500</v>
      </c>
      <c r="H77" s="12" t="s">
        <v>501</v>
      </c>
      <c r="I77" s="12" t="s">
        <v>21</v>
      </c>
      <c r="J77" s="12" t="s">
        <v>502</v>
      </c>
      <c r="K77" s="12" t="s">
        <v>503</v>
      </c>
      <c r="L77" s="6"/>
      <c r="M77" s="23" t="str">
        <f>HYPERLINK("https://www.worldrobotconference.com/expo/company/493.html","https://www.worldrobotconference.com/expo/company/493.html")</f>
        <v>https://www.worldrobotconference.com/expo/company/493.html</v>
      </c>
      <c r="N77" s="6"/>
    </row>
    <row r="78" spans="1:14" s="11" customFormat="1" ht="42" customHeight="1">
      <c r="A78" s="5" t="s">
        <v>504</v>
      </c>
      <c r="B78" s="6" t="s">
        <v>16</v>
      </c>
      <c r="C78" s="6" t="s">
        <v>505</v>
      </c>
      <c r="D78" s="6"/>
      <c r="E78" s="6"/>
      <c r="F78" s="12" t="s">
        <v>506</v>
      </c>
      <c r="G78" s="12" t="s">
        <v>507</v>
      </c>
      <c r="H78" s="12" t="s">
        <v>508</v>
      </c>
      <c r="I78" s="12" t="s">
        <v>21</v>
      </c>
      <c r="J78" s="12" t="s">
        <v>509</v>
      </c>
      <c r="K78" s="12" t="s">
        <v>510</v>
      </c>
      <c r="L78" s="6"/>
      <c r="M78" s="23" t="str">
        <f>HYPERLINK("https://www.worldrobotconference.com/expo/company/622.html","https://www.worldrobotconference.com/expo/company/622.html")</f>
        <v>https://www.worldrobotconference.com/expo/company/622.html</v>
      </c>
      <c r="N78" s="6"/>
    </row>
    <row r="79" spans="1:14" s="11" customFormat="1" ht="42" customHeight="1">
      <c r="A79" s="5" t="s">
        <v>511</v>
      </c>
      <c r="B79" s="6" t="s">
        <v>16</v>
      </c>
      <c r="C79" s="6" t="s">
        <v>512</v>
      </c>
      <c r="D79" s="6"/>
      <c r="E79" s="6"/>
      <c r="F79" s="12" t="s">
        <v>513</v>
      </c>
      <c r="G79" s="12" t="s">
        <v>514</v>
      </c>
      <c r="H79" s="12" t="s">
        <v>515</v>
      </c>
      <c r="I79" s="12" t="s">
        <v>21</v>
      </c>
      <c r="J79" s="12" t="s">
        <v>516</v>
      </c>
      <c r="K79" s="12" t="s">
        <v>517</v>
      </c>
      <c r="L79" s="6"/>
      <c r="M79" s="23" t="str">
        <f>HYPERLINK("https://www.worldrobotconference.com/expo/company/465.html","https://www.worldrobotconference.com/expo/company/465.html")</f>
        <v>https://www.worldrobotconference.com/expo/company/465.html</v>
      </c>
      <c r="N79" s="6"/>
    </row>
    <row r="80" spans="1:14" s="11" customFormat="1" ht="42" customHeight="1">
      <c r="A80" s="5" t="s">
        <v>518</v>
      </c>
      <c r="B80" s="6" t="s">
        <v>16</v>
      </c>
      <c r="C80" s="6" t="s">
        <v>519</v>
      </c>
      <c r="D80" s="6"/>
      <c r="E80" s="6"/>
      <c r="F80" s="12" t="s">
        <v>520</v>
      </c>
      <c r="G80" s="12" t="s">
        <v>521</v>
      </c>
      <c r="H80" s="12" t="s">
        <v>522</v>
      </c>
      <c r="I80" s="12" t="s">
        <v>21</v>
      </c>
      <c r="J80" s="12" t="s">
        <v>523</v>
      </c>
      <c r="K80" s="12" t="s">
        <v>524</v>
      </c>
      <c r="L80" s="6"/>
      <c r="M80" s="23" t="str">
        <f>HYPERLINK("https://www.worldrobotconference.com/expo/company/623.html","https://www.worldrobotconference.com/expo/company/623.html")</f>
        <v>https://www.worldrobotconference.com/expo/company/623.html</v>
      </c>
      <c r="N80" s="6"/>
    </row>
    <row r="81" spans="1:14" s="11" customFormat="1" ht="42" customHeight="1">
      <c r="A81" s="5" t="s">
        <v>525</v>
      </c>
      <c r="B81" s="6" t="s">
        <v>16</v>
      </c>
      <c r="C81" s="6" t="s">
        <v>526</v>
      </c>
      <c r="D81" s="6"/>
      <c r="E81" s="6"/>
      <c r="F81" s="12" t="s">
        <v>527</v>
      </c>
      <c r="G81" s="12" t="s">
        <v>528</v>
      </c>
      <c r="H81" s="12" t="s">
        <v>529</v>
      </c>
      <c r="I81" s="12" t="s">
        <v>21</v>
      </c>
      <c r="J81" s="12" t="s">
        <v>467</v>
      </c>
      <c r="K81" s="12" t="s">
        <v>530</v>
      </c>
      <c r="L81" s="6"/>
      <c r="M81" s="23" t="str">
        <f>HYPERLINK("https://www.worldrobotconference.com/expo/company/624.html","https://www.worldrobotconference.com/expo/company/624.html")</f>
        <v>https://www.worldrobotconference.com/expo/company/624.html</v>
      </c>
      <c r="N81" s="6"/>
    </row>
    <row r="82" spans="1:14" s="11" customFormat="1" ht="42" customHeight="1">
      <c r="A82" s="5" t="s">
        <v>531</v>
      </c>
      <c r="B82" s="6" t="s">
        <v>16</v>
      </c>
      <c r="C82" s="6" t="s">
        <v>532</v>
      </c>
      <c r="D82" s="6"/>
      <c r="E82" s="6"/>
      <c r="F82" s="12" t="s">
        <v>533</v>
      </c>
      <c r="G82" s="12" t="s">
        <v>534</v>
      </c>
      <c r="H82" s="12" t="s">
        <v>535</v>
      </c>
      <c r="I82" s="12" t="s">
        <v>21</v>
      </c>
      <c r="J82" s="12" t="s">
        <v>536</v>
      </c>
      <c r="K82" s="12" t="s">
        <v>537</v>
      </c>
      <c r="L82" s="6"/>
      <c r="M82" s="23" t="str">
        <f>HYPERLINK("https://www.worldrobotconference.com/expo/company/625.html","https://www.worldrobotconference.com/expo/company/625.html")</f>
        <v>https://www.worldrobotconference.com/expo/company/625.html</v>
      </c>
      <c r="N82" s="6"/>
    </row>
    <row r="83" spans="1:14" s="11" customFormat="1" ht="42" customHeight="1">
      <c r="A83" s="5" t="s">
        <v>538</v>
      </c>
      <c r="B83" s="6" t="s">
        <v>16</v>
      </c>
      <c r="C83" s="6" t="s">
        <v>539</v>
      </c>
      <c r="D83" s="6"/>
      <c r="E83" s="6"/>
      <c r="F83" s="12" t="s">
        <v>540</v>
      </c>
      <c r="G83" s="12" t="s">
        <v>541</v>
      </c>
      <c r="H83" s="12" t="s">
        <v>542</v>
      </c>
      <c r="I83" s="12" t="s">
        <v>21</v>
      </c>
      <c r="J83" s="12" t="s">
        <v>543</v>
      </c>
      <c r="K83" s="12" t="s">
        <v>544</v>
      </c>
      <c r="L83" s="6"/>
      <c r="M83" s="23" t="str">
        <f>HYPERLINK("https://www.worldrobotconference.com/expo/company/626.html","https://www.worldrobotconference.com/expo/company/626.html")</f>
        <v>https://www.worldrobotconference.com/expo/company/626.html</v>
      </c>
      <c r="N83" s="6"/>
    </row>
    <row r="84" spans="1:14" s="11" customFormat="1" ht="42" customHeight="1">
      <c r="A84" s="5" t="s">
        <v>545</v>
      </c>
      <c r="B84" s="6" t="s">
        <v>16</v>
      </c>
      <c r="C84" s="6" t="s">
        <v>546</v>
      </c>
      <c r="D84" s="6"/>
      <c r="E84" s="6"/>
      <c r="F84" s="12" t="s">
        <v>547</v>
      </c>
      <c r="G84" s="12" t="s">
        <v>548</v>
      </c>
      <c r="H84" s="12" t="s">
        <v>549</v>
      </c>
      <c r="I84" s="12" t="s">
        <v>21</v>
      </c>
      <c r="J84" s="12" t="s">
        <v>550</v>
      </c>
      <c r="K84" s="12" t="s">
        <v>551</v>
      </c>
      <c r="L84" s="6"/>
      <c r="M84" s="23" t="str">
        <f>HYPERLINK("https://www.worldrobotconference.com/expo/company/627.html","https://www.worldrobotconference.com/expo/company/627.html")</f>
        <v>https://www.worldrobotconference.com/expo/company/627.html</v>
      </c>
      <c r="N84" s="6"/>
    </row>
    <row r="85" spans="1:14" s="11" customFormat="1" ht="42" customHeight="1">
      <c r="A85" s="5" t="s">
        <v>559</v>
      </c>
      <c r="B85" s="6" t="s">
        <v>16</v>
      </c>
      <c r="C85" s="6" t="s">
        <v>560</v>
      </c>
      <c r="D85" s="6"/>
      <c r="E85" s="6"/>
      <c r="F85" s="12" t="s">
        <v>561</v>
      </c>
      <c r="G85" s="12" t="s">
        <v>562</v>
      </c>
      <c r="H85" s="12" t="s">
        <v>563</v>
      </c>
      <c r="I85" s="12" t="s">
        <v>21</v>
      </c>
      <c r="J85" s="12" t="s">
        <v>564</v>
      </c>
      <c r="K85" s="12" t="s">
        <v>565</v>
      </c>
      <c r="L85" s="6"/>
      <c r="M85" s="23" t="str">
        <f>HYPERLINK("https://www.worldrobotconference.com/expo/company/474.html","https://www.worldrobotconference.com/expo/company/474.html")</f>
        <v>https://www.worldrobotconference.com/expo/company/474.html</v>
      </c>
      <c r="N85" s="6"/>
    </row>
    <row r="86" spans="1:14" s="11" customFormat="1" ht="42" customHeight="1">
      <c r="A86" s="5" t="s">
        <v>566</v>
      </c>
      <c r="B86" s="5" t="s">
        <v>16</v>
      </c>
      <c r="C86" s="5" t="s">
        <v>567</v>
      </c>
      <c r="D86" s="6"/>
      <c r="E86" s="7"/>
      <c r="F86" s="12" t="s">
        <v>568</v>
      </c>
      <c r="G86" s="12" t="s">
        <v>569</v>
      </c>
      <c r="H86" s="12" t="s">
        <v>570</v>
      </c>
      <c r="I86" s="12" t="s">
        <v>21</v>
      </c>
      <c r="J86" s="12" t="s">
        <v>571</v>
      </c>
      <c r="K86" s="12" t="s">
        <v>572</v>
      </c>
      <c r="L86" s="6"/>
      <c r="M86" s="23" t="str">
        <f>HYPERLINK("https://www.worldrobotconference.com/expo/company/412.html","https://www.worldrobotconference.com/expo/company/412.html")</f>
        <v>https://www.worldrobotconference.com/expo/company/412.html</v>
      </c>
      <c r="N86" s="8"/>
    </row>
    <row r="87" spans="1:14" s="11" customFormat="1" ht="42" customHeight="1">
      <c r="A87" s="5" t="s">
        <v>573</v>
      </c>
      <c r="B87" s="5" t="s">
        <v>16</v>
      </c>
      <c r="C87" s="5" t="s">
        <v>574</v>
      </c>
      <c r="D87" s="6"/>
      <c r="E87" s="7"/>
      <c r="F87" s="12" t="s">
        <v>575</v>
      </c>
      <c r="G87" s="12" t="s">
        <v>576</v>
      </c>
      <c r="H87" s="12" t="s">
        <v>577</v>
      </c>
      <c r="I87" s="12" t="s">
        <v>21</v>
      </c>
      <c r="J87" s="12" t="s">
        <v>578</v>
      </c>
      <c r="K87" s="12" t="s">
        <v>579</v>
      </c>
      <c r="L87" s="7"/>
      <c r="M87" s="23" t="str">
        <f>HYPERLINK("https://www.worldrobotconference.com/expo/company/628.html","https://www.worldrobotconference.com/expo/company/628.html")</f>
        <v>https://www.worldrobotconference.com/expo/company/628.html</v>
      </c>
      <c r="N87" s="8"/>
    </row>
    <row r="88" spans="1:14" s="11" customFormat="1" ht="42" customHeight="1">
      <c r="A88" s="5" t="s">
        <v>580</v>
      </c>
      <c r="B88" s="5" t="s">
        <v>16</v>
      </c>
      <c r="C88" s="5" t="s">
        <v>581</v>
      </c>
      <c r="D88" s="6"/>
      <c r="E88" s="7"/>
      <c r="F88" s="12" t="s">
        <v>1787</v>
      </c>
      <c r="G88" s="12" t="s">
        <v>582</v>
      </c>
      <c r="H88" s="12" t="s">
        <v>583</v>
      </c>
      <c r="I88" s="12" t="s">
        <v>21</v>
      </c>
      <c r="J88" s="12" t="s">
        <v>584</v>
      </c>
      <c r="K88" s="12" t="s">
        <v>585</v>
      </c>
      <c r="L88" s="7"/>
      <c r="M88" s="23" t="str">
        <f>HYPERLINK("https://www.worldrobotconference.com/expo/company/530.html","https://www.worldrobotconference.com/expo/company/530.html")</f>
        <v>https://www.worldrobotconference.com/expo/company/530.html</v>
      </c>
      <c r="N88" s="8"/>
    </row>
    <row r="89" spans="1:14" s="11" customFormat="1" ht="42" customHeight="1">
      <c r="A89" s="5" t="s">
        <v>586</v>
      </c>
      <c r="B89" s="5" t="s">
        <v>16</v>
      </c>
      <c r="C89" s="5" t="s">
        <v>587</v>
      </c>
      <c r="D89" s="6"/>
      <c r="E89" s="7"/>
      <c r="F89" s="12" t="s">
        <v>588</v>
      </c>
      <c r="G89" s="12" t="s">
        <v>589</v>
      </c>
      <c r="H89" s="12" t="s">
        <v>590</v>
      </c>
      <c r="I89" s="12" t="s">
        <v>21</v>
      </c>
      <c r="J89" s="12" t="s">
        <v>591</v>
      </c>
      <c r="K89" s="12" t="s">
        <v>592</v>
      </c>
      <c r="L89" s="7"/>
      <c r="M89" s="23" t="str">
        <f>HYPERLINK("https://www.worldrobotconference.com/expo/company/459.html","https://www.worldrobotconference.com/expo/company/459.html")</f>
        <v>https://www.worldrobotconference.com/expo/company/459.html</v>
      </c>
      <c r="N89" s="8"/>
    </row>
    <row r="90" spans="1:14" s="11" customFormat="1" ht="42" customHeight="1">
      <c r="A90" s="5" t="s">
        <v>593</v>
      </c>
      <c r="B90" s="5" t="s">
        <v>16</v>
      </c>
      <c r="C90" s="5" t="s">
        <v>594</v>
      </c>
      <c r="D90" s="6"/>
      <c r="E90" s="7"/>
      <c r="F90" s="12" t="s">
        <v>595</v>
      </c>
      <c r="G90" s="12" t="s">
        <v>596</v>
      </c>
      <c r="H90" s="12" t="s">
        <v>597</v>
      </c>
      <c r="I90" s="12" t="s">
        <v>21</v>
      </c>
      <c r="J90" s="12" t="s">
        <v>598</v>
      </c>
      <c r="K90" s="12" t="s">
        <v>599</v>
      </c>
      <c r="L90" s="7"/>
      <c r="M90" s="23" t="str">
        <f>HYPERLINK("https://www.worldrobotconference.com/expo/company/575.html","https://www.worldrobotconference.com/expo/company/575.html")</f>
        <v>https://www.worldrobotconference.com/expo/company/575.html</v>
      </c>
      <c r="N90" s="8"/>
    </row>
    <row r="91" spans="1:14" s="11" customFormat="1" ht="42" customHeight="1">
      <c r="A91" s="5" t="s">
        <v>600</v>
      </c>
      <c r="B91" s="26" t="s">
        <v>16</v>
      </c>
      <c r="C91" s="26" t="s">
        <v>601</v>
      </c>
      <c r="D91" s="6"/>
      <c r="E91" s="26"/>
      <c r="F91" s="12" t="s">
        <v>602</v>
      </c>
      <c r="G91" s="12" t="s">
        <v>603</v>
      </c>
      <c r="H91" s="12" t="s">
        <v>604</v>
      </c>
      <c r="I91" s="12" t="s">
        <v>21</v>
      </c>
      <c r="J91" s="12" t="s">
        <v>605</v>
      </c>
      <c r="K91" s="12" t="s">
        <v>606</v>
      </c>
      <c r="L91" s="18"/>
      <c r="M91" s="23" t="str">
        <f>HYPERLINK("https://www.worldrobotconference.com/expo/company/636.html","https://www.worldrobotconference.com/expo/company/636.html")</f>
        <v>https://www.worldrobotconference.com/expo/company/636.html</v>
      </c>
      <c r="N91" s="26"/>
    </row>
    <row r="92" spans="1:14" s="11" customFormat="1" ht="42" customHeight="1">
      <c r="A92" s="5" t="s">
        <v>607</v>
      </c>
      <c r="B92" s="6" t="s">
        <v>16</v>
      </c>
      <c r="C92" s="6" t="s">
        <v>608</v>
      </c>
      <c r="D92" s="6"/>
      <c r="E92" s="6"/>
      <c r="F92" s="12" t="s">
        <v>609</v>
      </c>
      <c r="G92" s="12" t="s">
        <v>610</v>
      </c>
      <c r="H92" s="12" t="s">
        <v>611</v>
      </c>
      <c r="I92" s="12" t="s">
        <v>21</v>
      </c>
      <c r="J92" s="12" t="s">
        <v>612</v>
      </c>
      <c r="K92" s="12" t="s">
        <v>613</v>
      </c>
      <c r="L92" s="7"/>
      <c r="M92" s="23" t="str">
        <f>HYPERLINK("https://www.worldrobotconference.com/expo/company/483.html","https://www.worldrobotconference.com/expo/company/483.html")</f>
        <v>https://www.worldrobotconference.com/expo/company/483.html</v>
      </c>
      <c r="N92" s="6"/>
    </row>
    <row r="93" spans="1:14" s="11" customFormat="1" ht="42" customHeight="1">
      <c r="A93" s="5" t="s">
        <v>614</v>
      </c>
      <c r="B93" s="6" t="s">
        <v>16</v>
      </c>
      <c r="C93" s="6" t="s">
        <v>615</v>
      </c>
      <c r="D93" s="6"/>
      <c r="E93" s="6"/>
      <c r="F93" s="12" t="s">
        <v>616</v>
      </c>
      <c r="G93" s="12" t="s">
        <v>617</v>
      </c>
      <c r="H93" s="12" t="s">
        <v>618</v>
      </c>
      <c r="I93" s="12" t="s">
        <v>21</v>
      </c>
      <c r="J93" s="12" t="s">
        <v>619</v>
      </c>
      <c r="K93" s="12" t="s">
        <v>620</v>
      </c>
      <c r="L93" s="7"/>
      <c r="M93" s="23" t="str">
        <f>HYPERLINK("https://www.worldrobotconference.com/expo/company/567.html","https://www.worldrobotconference.com/expo/company/567.html")</f>
        <v>https://www.worldrobotconference.com/expo/company/567.html</v>
      </c>
      <c r="N93" s="6"/>
    </row>
    <row r="94" spans="1:14" s="11" customFormat="1" ht="42" customHeight="1">
      <c r="A94" s="5" t="s">
        <v>621</v>
      </c>
      <c r="B94" s="6" t="s">
        <v>16</v>
      </c>
      <c r="C94" s="6" t="s">
        <v>622</v>
      </c>
      <c r="D94" s="6"/>
      <c r="E94" s="6"/>
      <c r="F94" s="12" t="s">
        <v>623</v>
      </c>
      <c r="G94" s="12" t="s">
        <v>624</v>
      </c>
      <c r="H94" s="12" t="s">
        <v>625</v>
      </c>
      <c r="I94" s="12" t="s">
        <v>21</v>
      </c>
      <c r="J94" s="12" t="s">
        <v>626</v>
      </c>
      <c r="K94" s="12" t="s">
        <v>627</v>
      </c>
      <c r="L94" s="6"/>
      <c r="M94" s="23" t="str">
        <f>HYPERLINK("https://www.worldrobotconference.com/expo/company/637.html","https://www.worldrobotconference.com/expo/company/637.html")</f>
        <v>https://www.worldrobotconference.com/expo/company/637.html</v>
      </c>
      <c r="N94" s="6"/>
    </row>
    <row r="95" spans="1:14" s="11" customFormat="1" ht="42" customHeight="1">
      <c r="A95" s="5" t="s">
        <v>628</v>
      </c>
      <c r="B95" s="5" t="s">
        <v>16</v>
      </c>
      <c r="C95" s="5" t="s">
        <v>629</v>
      </c>
      <c r="D95" s="6"/>
      <c r="E95" s="7"/>
      <c r="F95" s="12" t="s">
        <v>630</v>
      </c>
      <c r="G95" s="12" t="s">
        <v>631</v>
      </c>
      <c r="H95" s="12" t="s">
        <v>632</v>
      </c>
      <c r="I95" s="12" t="s">
        <v>21</v>
      </c>
      <c r="J95" s="12" t="s">
        <v>633</v>
      </c>
      <c r="K95" s="12" t="s">
        <v>634</v>
      </c>
      <c r="L95" s="7"/>
      <c r="M95" s="23" t="str">
        <f>HYPERLINK("https://www.worldrobotconference.com/expo/company/420.html","https://www.worldrobotconference.com/expo/company/420.html")</f>
        <v>https://www.worldrobotconference.com/expo/company/420.html</v>
      </c>
      <c r="N95" s="8"/>
    </row>
    <row r="96" spans="1:14" s="11" customFormat="1" ht="42" customHeight="1">
      <c r="A96" s="5" t="s">
        <v>635</v>
      </c>
      <c r="B96" s="5" t="s">
        <v>16</v>
      </c>
      <c r="C96" s="5" t="s">
        <v>636</v>
      </c>
      <c r="D96" s="6"/>
      <c r="E96" s="7"/>
      <c r="F96" s="12" t="s">
        <v>637</v>
      </c>
      <c r="G96" s="12" t="s">
        <v>638</v>
      </c>
      <c r="H96" s="12" t="s">
        <v>639</v>
      </c>
      <c r="I96" s="12" t="s">
        <v>21</v>
      </c>
      <c r="J96" s="12" t="s">
        <v>640</v>
      </c>
      <c r="K96" s="12" t="s">
        <v>641</v>
      </c>
      <c r="L96" s="7"/>
      <c r="M96" s="23" t="str">
        <f>HYPERLINK("https://www.worldrobotconference.com/expo/company/638.html","https://www.worldrobotconference.com/expo/company/638.html")</f>
        <v>https://www.worldrobotconference.com/expo/company/638.html</v>
      </c>
      <c r="N96" s="8"/>
    </row>
    <row r="97" spans="1:14" s="11" customFormat="1" ht="42" customHeight="1">
      <c r="A97" s="5" t="s">
        <v>642</v>
      </c>
      <c r="B97" s="5" t="s">
        <v>16</v>
      </c>
      <c r="C97" s="5" t="s">
        <v>643</v>
      </c>
      <c r="D97" s="6"/>
      <c r="E97" s="7"/>
      <c r="F97" s="12" t="s">
        <v>644</v>
      </c>
      <c r="G97" s="12" t="s">
        <v>645</v>
      </c>
      <c r="H97" s="12" t="s">
        <v>646</v>
      </c>
      <c r="I97" s="12" t="s">
        <v>21</v>
      </c>
      <c r="J97" s="12" t="s">
        <v>647</v>
      </c>
      <c r="K97" s="12" t="s">
        <v>648</v>
      </c>
      <c r="L97" s="7"/>
      <c r="M97" s="23" t="str">
        <f>HYPERLINK("https://www.worldrobotconference.com/expo/company/641.html","https://www.worldrobotconference.com/expo/company/641.html")</f>
        <v>https://www.worldrobotconference.com/expo/company/641.html</v>
      </c>
      <c r="N97" s="8"/>
    </row>
    <row r="98" spans="1:14" s="11" customFormat="1" ht="42" customHeight="1">
      <c r="A98" s="5" t="s">
        <v>649</v>
      </c>
      <c r="B98" s="5" t="s">
        <v>16</v>
      </c>
      <c r="C98" s="5" t="s">
        <v>650</v>
      </c>
      <c r="D98" s="6"/>
      <c r="E98" s="7"/>
      <c r="F98" s="12" t="s">
        <v>651</v>
      </c>
      <c r="G98" s="12" t="s">
        <v>652</v>
      </c>
      <c r="H98" s="12" t="s">
        <v>653</v>
      </c>
      <c r="I98" s="12" t="s">
        <v>21</v>
      </c>
      <c r="J98" s="12" t="s">
        <v>654</v>
      </c>
      <c r="K98" s="12" t="s">
        <v>655</v>
      </c>
      <c r="L98" s="7"/>
      <c r="M98" s="23" t="str">
        <f>HYPERLINK("https://www.worldrobotconference.com/expo/company/482.html","https://www.worldrobotconference.com/expo/company/482.html")</f>
        <v>https://www.worldrobotconference.com/expo/company/482.html</v>
      </c>
      <c r="N98" s="8"/>
    </row>
    <row r="99" spans="1:14" s="11" customFormat="1" ht="42" customHeight="1">
      <c r="A99" s="5" t="s">
        <v>656</v>
      </c>
      <c r="B99" s="5" t="s">
        <v>16</v>
      </c>
      <c r="C99" s="5" t="s">
        <v>657</v>
      </c>
      <c r="D99" s="6"/>
      <c r="E99" s="7"/>
      <c r="F99" s="12" t="s">
        <v>658</v>
      </c>
      <c r="G99" s="12" t="s">
        <v>659</v>
      </c>
      <c r="H99" s="12" t="s">
        <v>660</v>
      </c>
      <c r="I99" s="12" t="s">
        <v>21</v>
      </c>
      <c r="J99" s="12" t="s">
        <v>661</v>
      </c>
      <c r="K99" s="12" t="s">
        <v>662</v>
      </c>
      <c r="L99" s="7"/>
      <c r="M99" s="23" t="str">
        <f>HYPERLINK("https://www.worldrobotconference.com/expo/company/487.html","https://www.worldrobotconference.com/expo/company/487.html")</f>
        <v>https://www.worldrobotconference.com/expo/company/487.html</v>
      </c>
      <c r="N99" s="8"/>
    </row>
    <row r="100" spans="1:14" s="11" customFormat="1" ht="42" customHeight="1">
      <c r="A100" s="5" t="s">
        <v>663</v>
      </c>
      <c r="B100" s="5" t="s">
        <v>16</v>
      </c>
      <c r="C100" s="5" t="s">
        <v>664</v>
      </c>
      <c r="D100" s="6"/>
      <c r="E100" s="7"/>
      <c r="F100" s="12" t="s">
        <v>1764</v>
      </c>
      <c r="G100" s="12" t="s">
        <v>1765</v>
      </c>
      <c r="H100" s="12" t="s">
        <v>1766</v>
      </c>
      <c r="I100" s="12" t="s">
        <v>21</v>
      </c>
      <c r="J100" s="12" t="s">
        <v>1767</v>
      </c>
      <c r="K100" s="12" t="s">
        <v>1768</v>
      </c>
      <c r="L100" s="7"/>
      <c r="M100" s="23" t="str">
        <f>HYPERLINK("https://www.worldrobotconference.com/expo/company/479.html","https://www.worldrobotconference.com/expo/company/479.html")</f>
        <v>https://www.worldrobotconference.com/expo/company/479.html</v>
      </c>
      <c r="N100" s="8"/>
    </row>
    <row r="101" spans="1:14" s="11" customFormat="1" ht="42" customHeight="1">
      <c r="A101" s="5" t="s">
        <v>665</v>
      </c>
      <c r="B101" s="5" t="s">
        <v>16</v>
      </c>
      <c r="C101" s="5" t="s">
        <v>666</v>
      </c>
      <c r="D101" s="6"/>
      <c r="E101" s="7"/>
      <c r="F101" s="12" t="s">
        <v>667</v>
      </c>
      <c r="G101" s="12" t="s">
        <v>668</v>
      </c>
      <c r="H101" s="12" t="s">
        <v>669</v>
      </c>
      <c r="I101" s="12" t="s">
        <v>21</v>
      </c>
      <c r="J101" s="12" t="s">
        <v>22</v>
      </c>
      <c r="K101" s="12" t="s">
        <v>670</v>
      </c>
      <c r="L101" s="7"/>
      <c r="M101" s="23" t="str">
        <f>HYPERLINK("https://www.worldrobotconference.com/expo/company/642.html","https://www.worldrobotconference.com/expo/company/642.html")</f>
        <v>https://www.worldrobotconference.com/expo/company/642.html</v>
      </c>
      <c r="N101" s="8"/>
    </row>
    <row r="102" spans="1:14" s="11" customFormat="1" ht="42" customHeight="1">
      <c r="A102" s="5" t="s">
        <v>671</v>
      </c>
      <c r="B102" s="5" t="s">
        <v>16</v>
      </c>
      <c r="C102" s="5" t="s">
        <v>672</v>
      </c>
      <c r="D102" s="6"/>
      <c r="E102" s="7"/>
      <c r="F102" s="12" t="s">
        <v>673</v>
      </c>
      <c r="G102" s="12" t="s">
        <v>674</v>
      </c>
      <c r="H102" s="12" t="s">
        <v>675</v>
      </c>
      <c r="I102" s="12" t="s">
        <v>21</v>
      </c>
      <c r="J102" s="12" t="s">
        <v>676</v>
      </c>
      <c r="K102" s="12" t="s">
        <v>677</v>
      </c>
      <c r="L102" s="7"/>
      <c r="M102" s="23" t="str">
        <f>HYPERLINK("https://www.worldrobotconference.com/expo/company/415.html","https://www.worldrobotconference.com/expo/company/415.html")</f>
        <v>https://www.worldrobotconference.com/expo/company/415.html</v>
      </c>
      <c r="N102" s="8"/>
    </row>
    <row r="103" spans="1:14" s="11" customFormat="1" ht="42" customHeight="1">
      <c r="A103" s="5" t="s">
        <v>678</v>
      </c>
      <c r="B103" s="5" t="s">
        <v>16</v>
      </c>
      <c r="C103" s="5" t="s">
        <v>679</v>
      </c>
      <c r="D103" s="6"/>
      <c r="E103" s="7"/>
      <c r="F103" s="12" t="s">
        <v>680</v>
      </c>
      <c r="G103" s="12" t="s">
        <v>681</v>
      </c>
      <c r="H103" s="12" t="s">
        <v>682</v>
      </c>
      <c r="I103" s="12" t="s">
        <v>21</v>
      </c>
      <c r="J103" s="12" t="s">
        <v>683</v>
      </c>
      <c r="K103" s="12" t="s">
        <v>684</v>
      </c>
      <c r="L103" s="7"/>
      <c r="M103" s="23" t="str">
        <f>HYPERLINK("https://www.worldrobotconference.com/expo/company/643.html","https://www.worldrobotconference.com/expo/company/643.html")</f>
        <v>https://www.worldrobotconference.com/expo/company/643.html</v>
      </c>
      <c r="N103" s="8"/>
    </row>
    <row r="104" spans="1:14" s="11" customFormat="1" ht="42" customHeight="1">
      <c r="A104" s="5" t="s">
        <v>347</v>
      </c>
      <c r="B104" s="5" t="s">
        <v>16</v>
      </c>
      <c r="C104" s="5" t="s">
        <v>348</v>
      </c>
      <c r="D104" s="6"/>
      <c r="E104" s="6"/>
      <c r="F104" s="12" t="s">
        <v>349</v>
      </c>
      <c r="G104" s="12" t="s">
        <v>350</v>
      </c>
      <c r="H104" s="12" t="s">
        <v>351</v>
      </c>
      <c r="I104" s="12" t="s">
        <v>21</v>
      </c>
      <c r="J104" s="12" t="s">
        <v>352</v>
      </c>
      <c r="K104" s="12" t="s">
        <v>353</v>
      </c>
      <c r="L104" s="6"/>
      <c r="M104" s="23" t="str">
        <f>HYPERLINK("https://www.worldrobotconference.com/expo/company/645.html","https://www.worldrobotconference.com/expo/company/645.html")</f>
        <v>https://www.worldrobotconference.com/expo/company/645.html</v>
      </c>
      <c r="N104" s="6"/>
    </row>
    <row r="105" spans="1:14" s="11" customFormat="1" ht="42" customHeight="1">
      <c r="A105" s="5" t="s">
        <v>685</v>
      </c>
      <c r="B105" s="5" t="s">
        <v>16</v>
      </c>
      <c r="C105" s="5" t="s">
        <v>686</v>
      </c>
      <c r="D105" s="6"/>
      <c r="E105" s="7"/>
      <c r="F105" s="12" t="s">
        <v>687</v>
      </c>
      <c r="G105" s="12" t="s">
        <v>688</v>
      </c>
      <c r="H105" s="12" t="s">
        <v>689</v>
      </c>
      <c r="I105" s="12" t="s">
        <v>21</v>
      </c>
      <c r="J105" s="12" t="s">
        <v>690</v>
      </c>
      <c r="K105" s="12" t="s">
        <v>691</v>
      </c>
      <c r="L105" s="7"/>
      <c r="M105" s="23" t="str">
        <f>HYPERLINK("https://www.worldrobotconference.com/expo/company/646.html","https://www.worldrobotconference.com/expo/company/646.html")</f>
        <v>https://www.worldrobotconference.com/expo/company/646.html</v>
      </c>
      <c r="N105" s="8"/>
    </row>
    <row r="106" spans="1:14" s="11" customFormat="1" ht="42" customHeight="1">
      <c r="A106" s="5" t="s">
        <v>692</v>
      </c>
      <c r="B106" s="5" t="s">
        <v>16</v>
      </c>
      <c r="C106" s="5" t="s">
        <v>693</v>
      </c>
      <c r="D106" s="6"/>
      <c r="E106" s="7"/>
      <c r="F106" s="12" t="s">
        <v>694</v>
      </c>
      <c r="G106" s="12" t="s">
        <v>695</v>
      </c>
      <c r="H106" s="12" t="s">
        <v>696</v>
      </c>
      <c r="I106" s="12" t="s">
        <v>21</v>
      </c>
      <c r="J106" s="12" t="s">
        <v>697</v>
      </c>
      <c r="K106" s="12" t="s">
        <v>698</v>
      </c>
      <c r="L106" s="7"/>
      <c r="M106" s="23" t="str">
        <f>HYPERLINK("https://www.worldrobotconference.com/expo/company/876.html","https://www.worldrobotconference.com/expo/company/876.html")</f>
        <v>https://www.worldrobotconference.com/expo/company/876.html</v>
      </c>
      <c r="N106" s="8"/>
    </row>
    <row r="107" spans="1:14" s="11" customFormat="1" ht="42" customHeight="1">
      <c r="A107" s="5" t="s">
        <v>699</v>
      </c>
      <c r="B107" s="5" t="s">
        <v>16</v>
      </c>
      <c r="C107" s="5" t="s">
        <v>700</v>
      </c>
      <c r="D107" s="6"/>
      <c r="E107" s="7"/>
      <c r="F107" s="12" t="s">
        <v>701</v>
      </c>
      <c r="G107" s="12" t="s">
        <v>702</v>
      </c>
      <c r="H107" s="12" t="s">
        <v>703</v>
      </c>
      <c r="I107" s="12" t="s">
        <v>21</v>
      </c>
      <c r="J107" s="12" t="s">
        <v>704</v>
      </c>
      <c r="K107" s="12" t="s">
        <v>705</v>
      </c>
      <c r="L107" s="7" t="s">
        <v>706</v>
      </c>
      <c r="M107" s="23" t="str">
        <f>HYPERLINK("https://www.worldrobotconference.com/expo/company/648.html","https://www.worldrobotconference.com/expo/company/648.html")</f>
        <v>https://www.worldrobotconference.com/expo/company/648.html</v>
      </c>
      <c r="N107" s="8"/>
    </row>
    <row r="108" spans="1:14" s="11" customFormat="1" ht="42" customHeight="1">
      <c r="A108" s="5" t="s">
        <v>707</v>
      </c>
      <c r="B108" s="5" t="s">
        <v>16</v>
      </c>
      <c r="C108" s="5" t="s">
        <v>708</v>
      </c>
      <c r="D108" s="6"/>
      <c r="E108" s="7"/>
      <c r="F108" s="12" t="s">
        <v>709</v>
      </c>
      <c r="G108" s="12" t="s">
        <v>710</v>
      </c>
      <c r="H108" s="12" t="s">
        <v>711</v>
      </c>
      <c r="I108" s="12" t="s">
        <v>21</v>
      </c>
      <c r="J108" s="12" t="s">
        <v>712</v>
      </c>
      <c r="K108" s="12" t="s">
        <v>713</v>
      </c>
      <c r="L108" s="7"/>
      <c r="M108" s="23" t="str">
        <f>HYPERLINK("https://www.worldrobotconference.com/expo/company/649.html","https://www.worldrobotconference.com/expo/company/649.html")</f>
        <v>https://www.worldrobotconference.com/expo/company/649.html</v>
      </c>
      <c r="N108" s="8"/>
    </row>
    <row r="109" spans="1:14" s="11" customFormat="1" ht="42" customHeight="1">
      <c r="A109" s="5" t="s">
        <v>714</v>
      </c>
      <c r="B109" s="5" t="s">
        <v>16</v>
      </c>
      <c r="C109" s="5" t="s">
        <v>715</v>
      </c>
      <c r="D109" s="6"/>
      <c r="E109" s="7"/>
      <c r="F109" s="12" t="s">
        <v>716</v>
      </c>
      <c r="G109" s="12" t="s">
        <v>717</v>
      </c>
      <c r="H109" s="12" t="s">
        <v>718</v>
      </c>
      <c r="I109" s="12" t="s">
        <v>21</v>
      </c>
      <c r="J109" s="12" t="s">
        <v>719</v>
      </c>
      <c r="K109" s="12" t="s">
        <v>720</v>
      </c>
      <c r="L109" s="7"/>
      <c r="M109" s="23" t="str">
        <f>HYPERLINK("https://www.worldrobotconference.com/expo/company/650.html","https://www.worldrobotconference.com/expo/company/650.html")</f>
        <v>https://www.worldrobotconference.com/expo/company/650.html</v>
      </c>
      <c r="N109" s="8"/>
    </row>
    <row r="110" spans="1:14" s="11" customFormat="1" ht="42" customHeight="1">
      <c r="A110" s="5" t="s">
        <v>721</v>
      </c>
      <c r="B110" s="5" t="s">
        <v>16</v>
      </c>
      <c r="C110" s="5" t="s">
        <v>722</v>
      </c>
      <c r="D110" s="6"/>
      <c r="E110" s="7"/>
      <c r="F110" s="12" t="s">
        <v>723</v>
      </c>
      <c r="G110" s="12" t="s">
        <v>724</v>
      </c>
      <c r="H110" s="12" t="s">
        <v>725</v>
      </c>
      <c r="I110" s="12" t="s">
        <v>21</v>
      </c>
      <c r="J110" s="12" t="s">
        <v>726</v>
      </c>
      <c r="K110" s="12" t="s">
        <v>727</v>
      </c>
      <c r="L110" s="7"/>
      <c r="M110" s="23" t="str">
        <f>HYPERLINK("https://www.worldrobotconference.com/expo/company/812.html","https://www.worldrobotconference.com/expo/company/812.html")</f>
        <v>https://www.worldrobotconference.com/expo/company/812.html</v>
      </c>
      <c r="N110" s="8"/>
    </row>
    <row r="111" spans="1:14" s="11" customFormat="1" ht="42" customHeight="1">
      <c r="A111" s="5" t="s">
        <v>728</v>
      </c>
      <c r="B111" s="5" t="s">
        <v>16</v>
      </c>
      <c r="C111" s="5" t="s">
        <v>729</v>
      </c>
      <c r="D111" s="6"/>
      <c r="E111" s="7"/>
      <c r="F111" s="12" t="s">
        <v>730</v>
      </c>
      <c r="G111" s="12" t="s">
        <v>731</v>
      </c>
      <c r="H111" s="12" t="s">
        <v>732</v>
      </c>
      <c r="I111" s="12" t="s">
        <v>21</v>
      </c>
      <c r="J111" s="12" t="s">
        <v>733</v>
      </c>
      <c r="K111" s="12" t="s">
        <v>734</v>
      </c>
      <c r="L111" s="7"/>
      <c r="M111" s="23" t="str">
        <f>HYPERLINK("https://www.worldrobotconference.com/expo/company/651.html","https://www.worldrobotconference.com/expo/company/651.html")</f>
        <v>https://www.worldrobotconference.com/expo/company/651.html</v>
      </c>
      <c r="N111" s="8"/>
    </row>
    <row r="112" spans="1:14" s="11" customFormat="1" ht="42" customHeight="1">
      <c r="A112" s="5" t="s">
        <v>735</v>
      </c>
      <c r="B112" s="5" t="s">
        <v>16</v>
      </c>
      <c r="C112" s="5" t="s">
        <v>736</v>
      </c>
      <c r="D112" s="6"/>
      <c r="E112" s="7"/>
      <c r="F112" s="12" t="s">
        <v>737</v>
      </c>
      <c r="G112" s="12" t="s">
        <v>738</v>
      </c>
      <c r="H112" s="12" t="s">
        <v>739</v>
      </c>
      <c r="I112" s="12" t="s">
        <v>21</v>
      </c>
      <c r="J112" s="12" t="s">
        <v>740</v>
      </c>
      <c r="K112" s="12" t="s">
        <v>741</v>
      </c>
      <c r="L112" s="7"/>
      <c r="M112" s="23" t="str">
        <f>HYPERLINK("https://www.worldrobotconference.com/expo/company/652.html","https://www.worldrobotconference.com/expo/company/652.html")</f>
        <v>https://www.worldrobotconference.com/expo/company/652.html</v>
      </c>
      <c r="N112" s="8"/>
    </row>
    <row r="113" spans="1:14" s="11" customFormat="1" ht="42" customHeight="1">
      <c r="A113" s="5" t="s">
        <v>742</v>
      </c>
      <c r="B113" s="6" t="s">
        <v>16</v>
      </c>
      <c r="C113" s="6" t="s">
        <v>743</v>
      </c>
      <c r="D113" s="6"/>
      <c r="E113" s="6"/>
      <c r="F113" s="12" t="s">
        <v>744</v>
      </c>
      <c r="G113" s="12" t="s">
        <v>84</v>
      </c>
      <c r="H113" s="12" t="s">
        <v>84</v>
      </c>
      <c r="I113" s="12" t="s">
        <v>21</v>
      </c>
      <c r="J113" s="12" t="s">
        <v>745</v>
      </c>
      <c r="K113" s="12" t="s">
        <v>746</v>
      </c>
      <c r="L113" s="6"/>
      <c r="M113" s="23" t="str">
        <f>HYPERLINK("https://www.worldrobotconference.com/expo/company/653.html","https://www.worldrobotconference.com/expo/company/653.html")</f>
        <v>https://www.worldrobotconference.com/expo/company/653.html</v>
      </c>
      <c r="N113" s="6"/>
    </row>
    <row r="114" spans="1:14" s="11" customFormat="1" ht="42" customHeight="1">
      <c r="A114" s="5" t="s">
        <v>747</v>
      </c>
      <c r="B114" s="5" t="s">
        <v>16</v>
      </c>
      <c r="C114" s="5" t="s">
        <v>748</v>
      </c>
      <c r="D114" s="6"/>
      <c r="E114" s="7"/>
      <c r="F114" s="12" t="s">
        <v>749</v>
      </c>
      <c r="G114" s="12" t="s">
        <v>750</v>
      </c>
      <c r="H114" s="12" t="s">
        <v>751</v>
      </c>
      <c r="I114" s="12" t="s">
        <v>21</v>
      </c>
      <c r="J114" s="12" t="s">
        <v>752</v>
      </c>
      <c r="K114" s="12" t="s">
        <v>753</v>
      </c>
      <c r="L114" s="7"/>
      <c r="M114" s="23" t="str">
        <f>HYPERLINK("https://www.worldrobotconference.com/expo/company/654.html","https://www.worldrobotconference.com/expo/company/654.html")</f>
        <v>https://www.worldrobotconference.com/expo/company/654.html</v>
      </c>
      <c r="N114" s="8"/>
    </row>
    <row r="115" spans="1:14" s="11" customFormat="1" ht="42" customHeight="1">
      <c r="A115" s="5" t="s">
        <v>754</v>
      </c>
      <c r="B115" s="5" t="s">
        <v>16</v>
      </c>
      <c r="C115" s="5" t="s">
        <v>755</v>
      </c>
      <c r="D115" s="6"/>
      <c r="E115" s="7"/>
      <c r="F115" s="12" t="s">
        <v>756</v>
      </c>
      <c r="G115" s="12" t="s">
        <v>757</v>
      </c>
      <c r="H115" s="12" t="s">
        <v>758</v>
      </c>
      <c r="I115" s="12" t="s">
        <v>21</v>
      </c>
      <c r="J115" s="12" t="s">
        <v>759</v>
      </c>
      <c r="K115" s="12" t="s">
        <v>760</v>
      </c>
      <c r="L115" s="7"/>
      <c r="M115" s="23" t="str">
        <f>HYPERLINK("https://www.worldrobotconference.com/expo/company/887.html","https://www.worldrobotconference.com/expo/company/887.html")</f>
        <v>https://www.worldrobotconference.com/expo/company/887.html</v>
      </c>
      <c r="N115" s="8"/>
    </row>
    <row r="116" spans="1:14" s="11" customFormat="1" ht="42" customHeight="1">
      <c r="A116" s="5" t="s">
        <v>761</v>
      </c>
      <c r="B116" s="5" t="s">
        <v>16</v>
      </c>
      <c r="C116" s="5" t="s">
        <v>762</v>
      </c>
      <c r="D116" s="6"/>
      <c r="E116" s="6"/>
      <c r="F116" s="12" t="s">
        <v>763</v>
      </c>
      <c r="G116" s="12" t="s">
        <v>764</v>
      </c>
      <c r="H116" s="12" t="s">
        <v>765</v>
      </c>
      <c r="I116" s="12" t="s">
        <v>21</v>
      </c>
      <c r="J116" s="12" t="s">
        <v>766</v>
      </c>
      <c r="K116" s="12" t="s">
        <v>767</v>
      </c>
      <c r="L116" s="6"/>
      <c r="M116" s="23" t="str">
        <f>HYPERLINK("https://www.worldrobotconference.com/expo/company/656.html","https://www.worldrobotconference.com/expo/company/656.html")</f>
        <v>https://www.worldrobotconference.com/expo/company/656.html</v>
      </c>
      <c r="N116" s="6"/>
    </row>
    <row r="117" spans="1:14" s="11" customFormat="1" ht="42" customHeight="1">
      <c r="A117" s="5" t="s">
        <v>768</v>
      </c>
      <c r="B117" s="5" t="s">
        <v>74</v>
      </c>
      <c r="C117" s="5" t="s">
        <v>769</v>
      </c>
      <c r="D117" s="6"/>
      <c r="E117" s="6"/>
      <c r="F117" s="12" t="s">
        <v>770</v>
      </c>
      <c r="G117" s="12" t="s">
        <v>771</v>
      </c>
      <c r="H117" s="12" t="s">
        <v>772</v>
      </c>
      <c r="I117" s="12" t="s">
        <v>21</v>
      </c>
      <c r="J117" s="12" t="s">
        <v>773</v>
      </c>
      <c r="K117" s="12" t="s">
        <v>774</v>
      </c>
      <c r="L117" s="6"/>
      <c r="M117" s="23" t="str">
        <f>HYPERLINK("https://www.worldrobotconference.com/expo/company/429.html","https://www.worldrobotconference.com/expo/company/429.html")</f>
        <v>https://www.worldrobotconference.com/expo/company/429.html</v>
      </c>
      <c r="N117" s="6"/>
    </row>
    <row r="118" spans="1:14" s="11" customFormat="1" ht="42" customHeight="1">
      <c r="A118" s="5" t="s">
        <v>775</v>
      </c>
      <c r="B118" s="5" t="s">
        <v>74</v>
      </c>
      <c r="C118" s="5" t="s">
        <v>776</v>
      </c>
      <c r="D118" s="6"/>
      <c r="E118" s="7"/>
      <c r="F118" s="12" t="s">
        <v>777</v>
      </c>
      <c r="G118" s="12" t="s">
        <v>778</v>
      </c>
      <c r="H118" s="12" t="s">
        <v>779</v>
      </c>
      <c r="I118" s="12" t="s">
        <v>21</v>
      </c>
      <c r="J118" s="12" t="s">
        <v>773</v>
      </c>
      <c r="K118" s="12" t="s">
        <v>780</v>
      </c>
      <c r="L118" s="7"/>
      <c r="M118" s="23" t="str">
        <f>HYPERLINK("https://www.worldrobotconference.com/expo/company/438.html","https://www.worldrobotconference.com/expo/company/438.html")</f>
        <v>https://www.worldrobotconference.com/expo/company/438.html</v>
      </c>
      <c r="N118" s="8"/>
    </row>
    <row r="119" spans="1:14" s="11" customFormat="1" ht="42" customHeight="1">
      <c r="A119" s="5" t="s">
        <v>354</v>
      </c>
      <c r="B119" s="5" t="s">
        <v>74</v>
      </c>
      <c r="C119" s="5" t="s">
        <v>355</v>
      </c>
      <c r="D119" s="6" t="s">
        <v>1763</v>
      </c>
      <c r="E119" s="7"/>
      <c r="F119" s="12" t="s">
        <v>356</v>
      </c>
      <c r="G119" s="12" t="s">
        <v>357</v>
      </c>
      <c r="H119" s="12" t="s">
        <v>358</v>
      </c>
      <c r="I119" s="12" t="s">
        <v>21</v>
      </c>
      <c r="J119" s="12" t="s">
        <v>359</v>
      </c>
      <c r="K119" s="12" t="s">
        <v>360</v>
      </c>
      <c r="L119" s="7"/>
      <c r="M119" s="23" t="str">
        <f>HYPERLINK("https://www.worldrobotconference.com/expo/company/398.html","https://www.worldrobotconference.com/expo/company/398.html")</f>
        <v>https://www.worldrobotconference.com/expo/company/398.html</v>
      </c>
      <c r="N119" s="8"/>
    </row>
    <row r="120" spans="1:14" s="11" customFormat="1" ht="42" customHeight="1">
      <c r="A120" s="5" t="s">
        <v>781</v>
      </c>
      <c r="B120" s="5" t="s">
        <v>74</v>
      </c>
      <c r="C120" s="5" t="s">
        <v>782</v>
      </c>
      <c r="D120" s="6"/>
      <c r="E120" s="7"/>
      <c r="F120" s="12" t="s">
        <v>783</v>
      </c>
      <c r="G120" s="12" t="s">
        <v>784</v>
      </c>
      <c r="H120" s="12" t="s">
        <v>785</v>
      </c>
      <c r="I120" s="12" t="s">
        <v>21</v>
      </c>
      <c r="J120" s="12" t="s">
        <v>773</v>
      </c>
      <c r="K120" s="12" t="s">
        <v>786</v>
      </c>
      <c r="L120" s="7"/>
      <c r="M120" s="23" t="str">
        <f>HYPERLINK("https://www.worldrobotconference.com/expo/company/445.html","https://www.worldrobotconference.com/expo/company/445.html")</f>
        <v>https://www.worldrobotconference.com/expo/company/445.html</v>
      </c>
      <c r="N120" s="8"/>
    </row>
    <row r="121" spans="1:14" s="11" customFormat="1" ht="42" customHeight="1">
      <c r="A121" s="5" t="s">
        <v>787</v>
      </c>
      <c r="B121" s="5" t="s">
        <v>74</v>
      </c>
      <c r="C121" s="5" t="s">
        <v>788</v>
      </c>
      <c r="D121" s="6"/>
      <c r="E121" s="7"/>
      <c r="F121" s="12" t="s">
        <v>789</v>
      </c>
      <c r="G121" s="12" t="s">
        <v>790</v>
      </c>
      <c r="H121" s="12" t="s">
        <v>791</v>
      </c>
      <c r="I121" s="12" t="s">
        <v>21</v>
      </c>
      <c r="J121" s="12" t="s">
        <v>792</v>
      </c>
      <c r="K121" s="12" t="s">
        <v>793</v>
      </c>
      <c r="L121" s="7"/>
      <c r="M121" s="23" t="str">
        <f>HYPERLINK("https://www.worldrobotconference.com/expo/company/449.html","https://www.worldrobotconference.com/expo/company/449.html")</f>
        <v>https://www.worldrobotconference.com/expo/company/449.html</v>
      </c>
      <c r="N121" s="8"/>
    </row>
    <row r="122" spans="1:14" s="11" customFormat="1" ht="42" customHeight="1">
      <c r="A122" s="5" t="s">
        <v>794</v>
      </c>
      <c r="B122" s="5" t="s">
        <v>74</v>
      </c>
      <c r="C122" s="5" t="s">
        <v>795</v>
      </c>
      <c r="D122" s="6"/>
      <c r="E122" s="7"/>
      <c r="F122" s="12" t="s">
        <v>796</v>
      </c>
      <c r="G122" s="12" t="s">
        <v>84</v>
      </c>
      <c r="H122" s="12" t="s">
        <v>84</v>
      </c>
      <c r="I122" s="12" t="s">
        <v>160</v>
      </c>
      <c r="J122" s="12" t="s">
        <v>797</v>
      </c>
      <c r="K122" s="12" t="s">
        <v>798</v>
      </c>
      <c r="L122" s="7"/>
      <c r="M122" s="23" t="str">
        <f>HYPERLINK("https://www.worldrobotconference.com/expo/company/406.html","https://www.worldrobotconference.com/expo/company/406.html")</f>
        <v>https://www.worldrobotconference.com/expo/company/406.html</v>
      </c>
      <c r="N122" s="8"/>
    </row>
    <row r="123" spans="1:14" s="11" customFormat="1" ht="42" customHeight="1">
      <c r="A123" s="5" t="s">
        <v>799</v>
      </c>
      <c r="B123" s="5" t="s">
        <v>74</v>
      </c>
      <c r="C123" s="5" t="s">
        <v>800</v>
      </c>
      <c r="D123" s="6"/>
      <c r="E123" s="7"/>
      <c r="F123" s="12" t="s">
        <v>801</v>
      </c>
      <c r="G123" s="12" t="s">
        <v>802</v>
      </c>
      <c r="H123" s="12" t="s">
        <v>803</v>
      </c>
      <c r="I123" s="12" t="s">
        <v>21</v>
      </c>
      <c r="J123" s="12" t="s">
        <v>804</v>
      </c>
      <c r="K123" s="12" t="s">
        <v>805</v>
      </c>
      <c r="L123" s="7" t="s">
        <v>806</v>
      </c>
      <c r="M123" s="23" t="str">
        <f>HYPERLINK("https://www.worldrobotconference.com/expo/","https://www.worldrobotconference.com/expo/")</f>
        <v>https://www.worldrobotconference.com/expo/</v>
      </c>
      <c r="N123" s="8"/>
    </row>
    <row r="124" spans="1:14" s="11" customFormat="1" ht="42" customHeight="1">
      <c r="A124" s="5" t="s">
        <v>807</v>
      </c>
      <c r="B124" s="5" t="s">
        <v>74</v>
      </c>
      <c r="C124" s="5" t="s">
        <v>808</v>
      </c>
      <c r="D124" s="6"/>
      <c r="E124" s="7"/>
      <c r="F124" s="12" t="s">
        <v>809</v>
      </c>
      <c r="G124" s="12" t="s">
        <v>84</v>
      </c>
      <c r="H124" s="12" t="s">
        <v>84</v>
      </c>
      <c r="I124" s="12" t="s">
        <v>160</v>
      </c>
      <c r="J124" s="12" t="s">
        <v>810</v>
      </c>
      <c r="K124" s="12" t="s">
        <v>811</v>
      </c>
      <c r="L124" s="7" t="s">
        <v>162</v>
      </c>
      <c r="M124" s="23" t="str">
        <f>HYPERLINK("https://www.worldrobotconference.com/expo/company/659.html","https://www.worldrobotconference.com/expo/company/659.html")</f>
        <v>https://www.worldrobotconference.com/expo/company/659.html</v>
      </c>
      <c r="N124" s="8"/>
    </row>
    <row r="125" spans="1:14" s="11" customFormat="1" ht="42" customHeight="1">
      <c r="A125" s="5" t="s">
        <v>812</v>
      </c>
      <c r="B125" s="5" t="s">
        <v>74</v>
      </c>
      <c r="C125" s="5" t="s">
        <v>813</v>
      </c>
      <c r="D125" s="6"/>
      <c r="E125" s="7"/>
      <c r="F125" s="12" t="s">
        <v>814</v>
      </c>
      <c r="G125" s="12" t="s">
        <v>84</v>
      </c>
      <c r="H125" s="12" t="s">
        <v>84</v>
      </c>
      <c r="I125" s="12" t="s">
        <v>815</v>
      </c>
      <c r="J125" s="12" t="s">
        <v>816</v>
      </c>
      <c r="K125" s="12" t="s">
        <v>817</v>
      </c>
      <c r="L125" s="7"/>
      <c r="M125" s="23" t="str">
        <f>HYPERLINK("https://www.worldrobotconference.com/expo/company/660.html","https://www.worldrobotconference.com/expo/company/660.html")</f>
        <v>https://www.worldrobotconference.com/expo/company/660.html</v>
      </c>
      <c r="N125" s="8"/>
    </row>
    <row r="126" spans="1:14" s="11" customFormat="1" ht="42" customHeight="1">
      <c r="A126" s="5" t="s">
        <v>818</v>
      </c>
      <c r="B126" s="5" t="s">
        <v>74</v>
      </c>
      <c r="C126" s="5" t="s">
        <v>819</v>
      </c>
      <c r="D126" s="6"/>
      <c r="E126" s="7"/>
      <c r="F126" s="12" t="s">
        <v>820</v>
      </c>
      <c r="G126" s="12" t="s">
        <v>84</v>
      </c>
      <c r="H126" s="12" t="s">
        <v>84</v>
      </c>
      <c r="I126" s="12" t="s">
        <v>815</v>
      </c>
      <c r="J126" s="12" t="s">
        <v>821</v>
      </c>
      <c r="K126" s="12" t="s">
        <v>822</v>
      </c>
      <c r="L126" s="7"/>
      <c r="M126" s="23" t="str">
        <f>HYPERLINK("https://www.worldrobotconference.com/expo/company/661.html","https://www.worldrobotconference.com/expo/company/661.html")</f>
        <v>https://www.worldrobotconference.com/expo/company/661.html</v>
      </c>
      <c r="N126" s="8"/>
    </row>
    <row r="127" spans="1:14" s="11" customFormat="1" ht="42" customHeight="1">
      <c r="A127" s="5" t="s">
        <v>823</v>
      </c>
      <c r="B127" s="5" t="s">
        <v>74</v>
      </c>
      <c r="C127" s="5" t="s">
        <v>824</v>
      </c>
      <c r="D127" s="6"/>
      <c r="E127" s="7"/>
      <c r="F127" s="12" t="s">
        <v>825</v>
      </c>
      <c r="G127" s="12" t="s">
        <v>84</v>
      </c>
      <c r="H127" s="12" t="s">
        <v>84</v>
      </c>
      <c r="I127" s="12" t="s">
        <v>826</v>
      </c>
      <c r="J127" s="12" t="s">
        <v>827</v>
      </c>
      <c r="K127" s="12" t="s">
        <v>828</v>
      </c>
      <c r="L127" s="7"/>
      <c r="M127" s="23" t="str">
        <f>HYPERLINK("https://www.worldrobotconference.com/expo/company/663.html","https://www.worldrobotconference.com/expo/company/663.html")</f>
        <v>https://www.worldrobotconference.com/expo/company/663.html</v>
      </c>
      <c r="N127" s="8"/>
    </row>
    <row r="128" spans="1:14" s="11" customFormat="1" ht="42" customHeight="1">
      <c r="A128" s="5" t="s">
        <v>829</v>
      </c>
      <c r="B128" s="5" t="s">
        <v>74</v>
      </c>
      <c r="C128" s="5" t="s">
        <v>830</v>
      </c>
      <c r="D128" s="6"/>
      <c r="E128" s="7"/>
      <c r="F128" s="12" t="s">
        <v>831</v>
      </c>
      <c r="G128" s="12" t="s">
        <v>832</v>
      </c>
      <c r="H128" s="12" t="s">
        <v>833</v>
      </c>
      <c r="I128" s="12" t="s">
        <v>21</v>
      </c>
      <c r="J128" s="12" t="s">
        <v>834</v>
      </c>
      <c r="K128" s="12" t="s">
        <v>835</v>
      </c>
      <c r="L128" s="7"/>
      <c r="M128" s="23" t="str">
        <f>HYPERLINK("https://www.worldrobotconference.com/expo/company/664.html","https://www.worldrobotconference.com/expo/company/664.html")</f>
        <v>https://www.worldrobotconference.com/expo/company/664.html</v>
      </c>
      <c r="N128" s="8"/>
    </row>
    <row r="129" spans="1:14" s="11" customFormat="1" ht="42" customHeight="1">
      <c r="A129" s="5" t="s">
        <v>836</v>
      </c>
      <c r="B129" s="5" t="s">
        <v>74</v>
      </c>
      <c r="C129" s="5" t="s">
        <v>837</v>
      </c>
      <c r="D129" s="6"/>
      <c r="E129" s="7"/>
      <c r="F129" s="12" t="s">
        <v>838</v>
      </c>
      <c r="G129" s="12" t="s">
        <v>839</v>
      </c>
      <c r="H129" s="12" t="s">
        <v>840</v>
      </c>
      <c r="I129" s="12" t="s">
        <v>21</v>
      </c>
      <c r="J129" s="12" t="s">
        <v>841</v>
      </c>
      <c r="K129" s="12" t="s">
        <v>842</v>
      </c>
      <c r="L129" s="7"/>
      <c r="M129" s="23" t="str">
        <f>HYPERLINK("https://www.worldrobotconference.com/expo/company/448.html","https://www.worldrobotconference.com/expo/company/448.html")</f>
        <v>https://www.worldrobotconference.com/expo/company/448.html</v>
      </c>
      <c r="N129" s="8"/>
    </row>
    <row r="130" spans="1:14" s="11" customFormat="1" ht="42" customHeight="1">
      <c r="A130" s="5" t="s">
        <v>843</v>
      </c>
      <c r="B130" s="5" t="s">
        <v>74</v>
      </c>
      <c r="C130" s="5" t="s">
        <v>844</v>
      </c>
      <c r="D130" s="6"/>
      <c r="E130" s="7"/>
      <c r="F130" s="12" t="s">
        <v>845</v>
      </c>
      <c r="G130" s="12" t="s">
        <v>846</v>
      </c>
      <c r="H130" s="12" t="s">
        <v>847</v>
      </c>
      <c r="I130" s="12" t="s">
        <v>21</v>
      </c>
      <c r="J130" s="12" t="s">
        <v>848</v>
      </c>
      <c r="K130" s="12" t="s">
        <v>849</v>
      </c>
      <c r="L130" s="7"/>
      <c r="M130" s="23" t="str">
        <f>HYPERLINK("https://www.worldrobotconference.com/expo/company/514.html","https://www.worldrobotconference.com/expo/company/514.html")</f>
        <v>https://www.worldrobotconference.com/expo/company/514.html</v>
      </c>
      <c r="N130" s="8"/>
    </row>
    <row r="131" spans="1:14" s="11" customFormat="1" ht="42" customHeight="1">
      <c r="A131" s="5" t="s">
        <v>73</v>
      </c>
      <c r="B131" s="5" t="s">
        <v>74</v>
      </c>
      <c r="C131" s="5" t="s">
        <v>75</v>
      </c>
      <c r="D131" s="6"/>
      <c r="E131" s="7"/>
      <c r="F131" s="12" t="s">
        <v>76</v>
      </c>
      <c r="G131" s="12" t="s">
        <v>77</v>
      </c>
      <c r="H131" s="12" t="s">
        <v>78</v>
      </c>
      <c r="I131" s="12" t="s">
        <v>21</v>
      </c>
      <c r="J131" s="12" t="s">
        <v>79</v>
      </c>
      <c r="K131" s="12" t="s">
        <v>80</v>
      </c>
      <c r="L131" s="7" t="s">
        <v>1783</v>
      </c>
      <c r="M131" s="23"/>
      <c r="N131" s="8"/>
    </row>
    <row r="132" spans="1:14" s="11" customFormat="1" ht="42" customHeight="1">
      <c r="A132" s="5" t="s">
        <v>850</v>
      </c>
      <c r="B132" s="5" t="s">
        <v>74</v>
      </c>
      <c r="C132" s="5" t="s">
        <v>851</v>
      </c>
      <c r="D132" s="6"/>
      <c r="E132" s="7"/>
      <c r="F132" s="12" t="s">
        <v>852</v>
      </c>
      <c r="G132" s="12" t="s">
        <v>84</v>
      </c>
      <c r="H132" s="12" t="s">
        <v>84</v>
      </c>
      <c r="I132" s="12" t="s">
        <v>815</v>
      </c>
      <c r="J132" s="12" t="s">
        <v>853</v>
      </c>
      <c r="K132" s="12" t="s">
        <v>854</v>
      </c>
      <c r="L132" s="7"/>
      <c r="M132" s="23" t="str">
        <f>HYPERLINK("https://www.worldrobotconference.com/expo/company/665.html","https://www.worldrobotconference.com/expo/company/665.html")</f>
        <v>https://www.worldrobotconference.com/expo/company/665.html</v>
      </c>
      <c r="N132" s="8"/>
    </row>
    <row r="133" spans="1:14" s="11" customFormat="1" ht="42" customHeight="1">
      <c r="A133" s="5" t="s">
        <v>855</v>
      </c>
      <c r="B133" s="5" t="s">
        <v>74</v>
      </c>
      <c r="C133" s="5" t="s">
        <v>856</v>
      </c>
      <c r="D133" s="6"/>
      <c r="E133" s="7"/>
      <c r="F133" s="12" t="s">
        <v>857</v>
      </c>
      <c r="G133" s="12" t="s">
        <v>84</v>
      </c>
      <c r="H133" s="12" t="s">
        <v>84</v>
      </c>
      <c r="I133" s="12" t="s">
        <v>858</v>
      </c>
      <c r="J133" s="12" t="s">
        <v>859</v>
      </c>
      <c r="K133" s="12" t="s">
        <v>860</v>
      </c>
      <c r="L133" s="7"/>
      <c r="M133" s="23" t="str">
        <f>HYPERLINK("https://www.worldrobotconference.com/expo/company/666.html","https://www.worldrobotconference.com/expo/company/666.html")</f>
        <v>https://www.worldrobotconference.com/expo/company/666.html</v>
      </c>
      <c r="N133" s="8"/>
    </row>
    <row r="134" spans="1:14" s="11" customFormat="1" ht="42" customHeight="1">
      <c r="A134" s="5" t="s">
        <v>861</v>
      </c>
      <c r="B134" s="5" t="s">
        <v>74</v>
      </c>
      <c r="C134" s="5" t="s">
        <v>862</v>
      </c>
      <c r="D134" s="6"/>
      <c r="E134" s="7"/>
      <c r="F134" s="12" t="s">
        <v>863</v>
      </c>
      <c r="G134" s="12" t="s">
        <v>864</v>
      </c>
      <c r="H134" s="12" t="s">
        <v>865</v>
      </c>
      <c r="I134" s="12" t="s">
        <v>21</v>
      </c>
      <c r="J134" s="12" t="s">
        <v>740</v>
      </c>
      <c r="K134" s="12" t="s">
        <v>741</v>
      </c>
      <c r="L134" s="7"/>
      <c r="M134" s="23" t="str">
        <f>HYPERLINK("https://www.worldrobotconference.com/expo/company/877.html","https://www.worldrobotconference.com/expo/company/877.html")</f>
        <v>https://www.worldrobotconference.com/expo/company/877.html</v>
      </c>
      <c r="N134" s="8"/>
    </row>
    <row r="135" spans="1:14" s="11" customFormat="1" ht="42" customHeight="1">
      <c r="A135" s="5" t="s">
        <v>866</v>
      </c>
      <c r="B135" s="5" t="s">
        <v>74</v>
      </c>
      <c r="C135" s="5" t="s">
        <v>867</v>
      </c>
      <c r="D135" s="6"/>
      <c r="E135" s="7"/>
      <c r="F135" s="12" t="s">
        <v>868</v>
      </c>
      <c r="G135" s="12" t="s">
        <v>869</v>
      </c>
      <c r="H135" s="12" t="s">
        <v>870</v>
      </c>
      <c r="I135" s="12" t="s">
        <v>21</v>
      </c>
      <c r="J135" s="12" t="s">
        <v>871</v>
      </c>
      <c r="K135" s="12" t="s">
        <v>872</v>
      </c>
      <c r="L135" s="7"/>
      <c r="M135" s="23" t="str">
        <f>HYPERLINK("https://www.worldrobotconference.com/expo/company/669.html","https://www.worldrobotconference.com/expo/company/669.html")</f>
        <v>https://www.worldrobotconference.com/expo/company/669.html</v>
      </c>
      <c r="N135" s="8"/>
    </row>
    <row r="136" spans="1:14" s="11" customFormat="1" ht="42" customHeight="1">
      <c r="A136" s="5" t="s">
        <v>873</v>
      </c>
      <c r="B136" s="5" t="s">
        <v>74</v>
      </c>
      <c r="C136" s="5" t="s">
        <v>874</v>
      </c>
      <c r="D136" s="6"/>
      <c r="E136" s="7"/>
      <c r="F136" s="12" t="s">
        <v>875</v>
      </c>
      <c r="G136" s="12" t="s">
        <v>876</v>
      </c>
      <c r="H136" s="12" t="s">
        <v>877</v>
      </c>
      <c r="I136" s="12" t="s">
        <v>21</v>
      </c>
      <c r="J136" s="12" t="s">
        <v>878</v>
      </c>
      <c r="K136" s="12" t="s">
        <v>879</v>
      </c>
      <c r="L136" s="7"/>
      <c r="M136" s="23" t="str">
        <f>HYPERLINK("https://www.worldrobotconference.com/expo/company/524.html","https://www.worldrobotconference.com/expo/company/524.html")</f>
        <v>https://www.worldrobotconference.com/expo/company/524.html</v>
      </c>
      <c r="N136" s="8"/>
    </row>
    <row r="137" spans="1:14" s="11" customFormat="1" ht="42" customHeight="1">
      <c r="A137" s="5" t="s">
        <v>880</v>
      </c>
      <c r="B137" s="5" t="s">
        <v>74</v>
      </c>
      <c r="C137" s="5" t="s">
        <v>881</v>
      </c>
      <c r="D137" s="6"/>
      <c r="E137" s="6"/>
      <c r="F137" s="12" t="s">
        <v>882</v>
      </c>
      <c r="G137" s="12" t="s">
        <v>883</v>
      </c>
      <c r="H137" s="12" t="s">
        <v>884</v>
      </c>
      <c r="I137" s="12" t="s">
        <v>21</v>
      </c>
      <c r="J137" s="12" t="s">
        <v>885</v>
      </c>
      <c r="K137" s="12" t="s">
        <v>886</v>
      </c>
      <c r="L137" s="6"/>
      <c r="M137" s="23" t="str">
        <f>HYPERLINK("https://www.worldrobotconference.com/expo/company/544.html","https://www.worldrobotconference.com/expo/company/544.html")</f>
        <v>https://www.worldrobotconference.com/expo/company/544.html</v>
      </c>
      <c r="N137" s="6"/>
    </row>
    <row r="138" spans="1:14" s="11" customFormat="1" ht="42" customHeight="1">
      <c r="A138" s="5" t="s">
        <v>887</v>
      </c>
      <c r="B138" s="5" t="s">
        <v>74</v>
      </c>
      <c r="C138" s="5" t="s">
        <v>888</v>
      </c>
      <c r="D138" s="6"/>
      <c r="E138" s="7"/>
      <c r="F138" s="12" t="s">
        <v>889</v>
      </c>
      <c r="G138" s="12" t="s">
        <v>84</v>
      </c>
      <c r="H138" s="12" t="s">
        <v>84</v>
      </c>
      <c r="I138" s="12" t="s">
        <v>160</v>
      </c>
      <c r="J138" s="12" t="s">
        <v>890</v>
      </c>
      <c r="K138" s="12" t="s">
        <v>891</v>
      </c>
      <c r="L138" s="7"/>
      <c r="M138" s="23" t="str">
        <f>HYPERLINK("https://www.worldrobotconference.com/expo/company/683.html","https://www.worldrobotconference.com/expo/company/683.html")</f>
        <v>https://www.worldrobotconference.com/expo/company/683.html</v>
      </c>
      <c r="N138" s="8"/>
    </row>
    <row r="139" spans="1:14" s="11" customFormat="1" ht="42" customHeight="1">
      <c r="A139" s="5" t="s">
        <v>892</v>
      </c>
      <c r="B139" s="5" t="s">
        <v>74</v>
      </c>
      <c r="C139" s="5" t="s">
        <v>893</v>
      </c>
      <c r="D139" s="6"/>
      <c r="E139" s="7"/>
      <c r="F139" s="12" t="s">
        <v>894</v>
      </c>
      <c r="G139" s="12" t="s">
        <v>84</v>
      </c>
      <c r="H139" s="12" t="s">
        <v>84</v>
      </c>
      <c r="I139" s="12" t="s">
        <v>160</v>
      </c>
      <c r="J139" s="12" t="s">
        <v>895</v>
      </c>
      <c r="K139" s="12" t="s">
        <v>896</v>
      </c>
      <c r="L139" s="7"/>
      <c r="M139" s="23" t="str">
        <f>HYPERLINK("https://www.worldrobotconference.com/expo/company/684.html","https://www.worldrobotconference.com/expo/company/684.html")</f>
        <v>https://www.worldrobotconference.com/expo/company/684.html</v>
      </c>
      <c r="N139" s="8"/>
    </row>
    <row r="140" spans="1:14" s="11" customFormat="1" ht="42" customHeight="1">
      <c r="A140" s="5" t="s">
        <v>897</v>
      </c>
      <c r="B140" s="5" t="s">
        <v>74</v>
      </c>
      <c r="C140" s="5" t="s">
        <v>898</v>
      </c>
      <c r="D140" s="6"/>
      <c r="E140" s="7"/>
      <c r="F140" s="12" t="s">
        <v>899</v>
      </c>
      <c r="G140" s="12" t="s">
        <v>84</v>
      </c>
      <c r="H140" s="12"/>
      <c r="I140" s="12" t="s">
        <v>900</v>
      </c>
      <c r="J140" s="12" t="s">
        <v>901</v>
      </c>
      <c r="K140" s="12" t="s">
        <v>902</v>
      </c>
      <c r="L140" s="7"/>
      <c r="M140" s="23" t="str">
        <f>HYPERLINK("https://www.worldrobotconference.com/expo/company/686.html","https://www.worldrobotconference.com/expo/company/686.html")</f>
        <v>https://www.worldrobotconference.com/expo/company/686.html</v>
      </c>
      <c r="N140" s="8"/>
    </row>
    <row r="141" spans="1:14" s="11" customFormat="1" ht="42" customHeight="1">
      <c r="A141" s="5" t="s">
        <v>903</v>
      </c>
      <c r="B141" s="6" t="s">
        <v>74</v>
      </c>
      <c r="C141" s="6" t="s">
        <v>904</v>
      </c>
      <c r="D141" s="6"/>
      <c r="E141" s="6"/>
      <c r="F141" s="12" t="s">
        <v>905</v>
      </c>
      <c r="G141" s="12" t="s">
        <v>906</v>
      </c>
      <c r="H141" s="12" t="s">
        <v>907</v>
      </c>
      <c r="I141" s="12" t="s">
        <v>21</v>
      </c>
      <c r="J141" s="12" t="s">
        <v>908</v>
      </c>
      <c r="K141" s="12" t="s">
        <v>909</v>
      </c>
      <c r="L141" s="6"/>
      <c r="M141" s="23" t="str">
        <f>HYPERLINK("https://www.worldrobotconference.com/expo/company/687.html","https://www.worldrobotconference.com/expo/company/687.html")</f>
        <v>https://www.worldrobotconference.com/expo/company/687.html</v>
      </c>
      <c r="N141" s="6"/>
    </row>
    <row r="142" spans="1:14" s="11" customFormat="1" ht="42" customHeight="1">
      <c r="A142" s="5" t="s">
        <v>910</v>
      </c>
      <c r="B142" s="5" t="s">
        <v>74</v>
      </c>
      <c r="C142" s="5" t="s">
        <v>911</v>
      </c>
      <c r="D142" s="6"/>
      <c r="E142" s="7"/>
      <c r="F142" s="12" t="s">
        <v>912</v>
      </c>
      <c r="G142" s="12" t="s">
        <v>913</v>
      </c>
      <c r="H142" s="12" t="s">
        <v>914</v>
      </c>
      <c r="I142" s="12" t="s">
        <v>21</v>
      </c>
      <c r="J142" s="12" t="s">
        <v>915</v>
      </c>
      <c r="K142" s="12" t="s">
        <v>916</v>
      </c>
      <c r="L142" s="7"/>
      <c r="M142" s="23" t="str">
        <f>HYPERLINK("https://www.worldrobotconference.com/expo/company/688.html","https://www.worldrobotconference.com/expo/company/688.html")</f>
        <v>https://www.worldrobotconference.com/expo/company/688.html</v>
      </c>
      <c r="N142" s="8"/>
    </row>
    <row r="143" spans="1:14" s="11" customFormat="1" ht="42" customHeight="1">
      <c r="A143" s="5" t="s">
        <v>917</v>
      </c>
      <c r="B143" s="5" t="s">
        <v>74</v>
      </c>
      <c r="C143" s="5" t="s">
        <v>918</v>
      </c>
      <c r="D143" s="6"/>
      <c r="E143" s="7"/>
      <c r="F143" s="12" t="s">
        <v>919</v>
      </c>
      <c r="G143" s="12" t="s">
        <v>920</v>
      </c>
      <c r="H143" s="12" t="s">
        <v>921</v>
      </c>
      <c r="I143" s="12" t="s">
        <v>21</v>
      </c>
      <c r="J143" s="12" t="s">
        <v>719</v>
      </c>
      <c r="K143" s="12" t="s">
        <v>922</v>
      </c>
      <c r="L143" s="7"/>
      <c r="M143" s="23" t="str">
        <f>HYPERLINK("https://www.worldrobotconference.com/expo/company/553.html","https://www.worldrobotconference.com/expo/company/553.html")</f>
        <v>https://www.worldrobotconference.com/expo/company/553.html</v>
      </c>
      <c r="N143" s="8"/>
    </row>
    <row r="144" spans="1:14" s="11" customFormat="1" ht="42" customHeight="1">
      <c r="A144" s="5" t="s">
        <v>923</v>
      </c>
      <c r="B144" s="5" t="s">
        <v>74</v>
      </c>
      <c r="C144" s="5" t="s">
        <v>924</v>
      </c>
      <c r="D144" s="6"/>
      <c r="E144" s="7"/>
      <c r="F144" s="12" t="s">
        <v>925</v>
      </c>
      <c r="G144" s="12" t="s">
        <v>926</v>
      </c>
      <c r="H144" s="12" t="s">
        <v>927</v>
      </c>
      <c r="I144" s="12" t="s">
        <v>21</v>
      </c>
      <c r="J144" s="12" t="s">
        <v>928</v>
      </c>
      <c r="K144" s="12" t="s">
        <v>929</v>
      </c>
      <c r="L144" s="7"/>
      <c r="M144" s="23" t="str">
        <f>HYPERLINK("https://www.worldrobotconference.com/expo/company/528.html","https://www.worldrobotconference.com/expo/company/528.html")</f>
        <v>https://www.worldrobotconference.com/expo/company/528.html</v>
      </c>
      <c r="N144" s="8"/>
    </row>
    <row r="145" spans="1:14" s="11" customFormat="1" ht="42" customHeight="1">
      <c r="A145" s="5" t="s">
        <v>930</v>
      </c>
      <c r="B145" s="5" t="s">
        <v>74</v>
      </c>
      <c r="C145" s="5" t="s">
        <v>931</v>
      </c>
      <c r="D145" s="6"/>
      <c r="E145" s="7"/>
      <c r="F145" s="12" t="s">
        <v>932</v>
      </c>
      <c r="G145" s="12" t="s">
        <v>933</v>
      </c>
      <c r="H145" s="12" t="s">
        <v>934</v>
      </c>
      <c r="I145" s="12" t="s">
        <v>21</v>
      </c>
      <c r="J145" s="12" t="s">
        <v>935</v>
      </c>
      <c r="K145" s="12" t="s">
        <v>936</v>
      </c>
      <c r="L145" s="7"/>
      <c r="M145" s="23" t="str">
        <f>HYPERLINK("https://www.worldrobotconference.com/expo/company/562.html","https://www.worldrobotconference.com/expo/company/562.html")</f>
        <v>https://www.worldrobotconference.com/expo/company/562.html</v>
      </c>
      <c r="N145" s="8"/>
    </row>
    <row r="146" spans="1:14" s="11" customFormat="1" ht="42" customHeight="1">
      <c r="A146" s="5" t="s">
        <v>937</v>
      </c>
      <c r="B146" s="5" t="s">
        <v>74</v>
      </c>
      <c r="C146" s="5" t="s">
        <v>938</v>
      </c>
      <c r="D146" s="6"/>
      <c r="E146" s="7"/>
      <c r="F146" s="12" t="s">
        <v>939</v>
      </c>
      <c r="G146" s="12" t="s">
        <v>940</v>
      </c>
      <c r="H146" s="12" t="s">
        <v>941</v>
      </c>
      <c r="I146" s="12" t="s">
        <v>21</v>
      </c>
      <c r="J146" s="12" t="s">
        <v>942</v>
      </c>
      <c r="K146" s="12" t="s">
        <v>943</v>
      </c>
      <c r="L146" s="7" t="s">
        <v>944</v>
      </c>
      <c r="M146" s="23" t="str">
        <f>HYPERLINK("https://www.worldrobotconference.com/expo/company/690.html","https://www.worldrobotconference.com/expo/company/690.html")</f>
        <v>https://www.worldrobotconference.com/expo/company/690.html</v>
      </c>
      <c r="N146" s="8"/>
    </row>
    <row r="147" spans="1:14" s="11" customFormat="1" ht="42" customHeight="1">
      <c r="A147" s="5" t="s">
        <v>945</v>
      </c>
      <c r="B147" s="5" t="s">
        <v>74</v>
      </c>
      <c r="C147" s="5" t="s">
        <v>946</v>
      </c>
      <c r="D147" s="6"/>
      <c r="E147" s="7"/>
      <c r="F147" s="12" t="s">
        <v>947</v>
      </c>
      <c r="G147" s="12" t="s">
        <v>948</v>
      </c>
      <c r="H147" s="12" t="s">
        <v>949</v>
      </c>
      <c r="I147" s="12" t="s">
        <v>21</v>
      </c>
      <c r="J147" s="12" t="s">
        <v>950</v>
      </c>
      <c r="K147" s="12" t="s">
        <v>951</v>
      </c>
      <c r="L147" s="7"/>
      <c r="M147" s="23" t="str">
        <f>HYPERLINK("https://www.worldrobotconference.com/expo/company/853.html","https://www.worldrobotconference.com/expo/company/853.html")</f>
        <v>https://www.worldrobotconference.com/expo/company/853.html</v>
      </c>
      <c r="N147" s="8"/>
    </row>
    <row r="148" spans="1:14" s="11" customFormat="1" ht="42" customHeight="1">
      <c r="A148" s="5" t="s">
        <v>952</v>
      </c>
      <c r="B148" s="5" t="s">
        <v>74</v>
      </c>
      <c r="C148" s="5" t="s">
        <v>953</v>
      </c>
      <c r="D148" s="6"/>
      <c r="E148" s="7"/>
      <c r="F148" s="12" t="s">
        <v>954</v>
      </c>
      <c r="G148" s="12" t="s">
        <v>955</v>
      </c>
      <c r="H148" s="12" t="s">
        <v>956</v>
      </c>
      <c r="I148" s="12" t="s">
        <v>21</v>
      </c>
      <c r="J148" s="12" t="s">
        <v>957</v>
      </c>
      <c r="K148" s="12" t="s">
        <v>958</v>
      </c>
      <c r="L148" s="7"/>
      <c r="M148" s="23" t="str">
        <f>HYPERLINK("https://www.worldrobotconference.com/expo/company/692.html","https://www.worldrobotconference.com/expo/company/692.html")</f>
        <v>https://www.worldrobotconference.com/expo/company/692.html</v>
      </c>
      <c r="N148" s="8"/>
    </row>
    <row r="149" spans="1:14" s="11" customFormat="1" ht="42" customHeight="1">
      <c r="A149" s="5" t="s">
        <v>959</v>
      </c>
      <c r="B149" s="5" t="s">
        <v>74</v>
      </c>
      <c r="C149" s="5" t="s">
        <v>960</v>
      </c>
      <c r="D149" s="6"/>
      <c r="E149" s="7"/>
      <c r="F149" s="12" t="s">
        <v>961</v>
      </c>
      <c r="G149" s="12" t="s">
        <v>962</v>
      </c>
      <c r="H149" s="12" t="s">
        <v>963</v>
      </c>
      <c r="I149" s="12" t="s">
        <v>21</v>
      </c>
      <c r="J149" s="12" t="s">
        <v>853</v>
      </c>
      <c r="K149" s="12" t="s">
        <v>964</v>
      </c>
      <c r="L149" s="7"/>
      <c r="M149" s="23" t="str">
        <f>HYPERLINK("https://www.worldrobotconference.com/expo/company/693.html","https://www.worldrobotconference.com/expo/company/693.html")</f>
        <v>https://www.worldrobotconference.com/expo/company/693.html</v>
      </c>
      <c r="N149" s="8"/>
    </row>
    <row r="150" spans="1:14" s="11" customFormat="1" ht="42" customHeight="1">
      <c r="A150" s="5" t="s">
        <v>965</v>
      </c>
      <c r="B150" s="5" t="s">
        <v>74</v>
      </c>
      <c r="C150" s="5" t="s">
        <v>966</v>
      </c>
      <c r="D150" s="6"/>
      <c r="E150" s="7"/>
      <c r="F150" s="12" t="s">
        <v>967</v>
      </c>
      <c r="G150" s="12" t="s">
        <v>968</v>
      </c>
      <c r="H150" s="12" t="s">
        <v>969</v>
      </c>
      <c r="I150" s="12" t="s">
        <v>21</v>
      </c>
      <c r="J150" s="12" t="s">
        <v>970</v>
      </c>
      <c r="K150" s="12" t="s">
        <v>971</v>
      </c>
      <c r="L150" s="7"/>
      <c r="M150" s="23" t="str">
        <f>HYPERLINK("https://www.worldrobotconference.com/expo/company/545.html","https://www.worldrobotconference.com/expo/company/545.html")</f>
        <v>https://www.worldrobotconference.com/expo/company/545.html</v>
      </c>
      <c r="N150" s="8"/>
    </row>
    <row r="151" spans="1:14" s="11" customFormat="1" ht="42" customHeight="1">
      <c r="A151" s="5" t="s">
        <v>972</v>
      </c>
      <c r="B151" s="5" t="s">
        <v>74</v>
      </c>
      <c r="C151" s="5" t="s">
        <v>973</v>
      </c>
      <c r="D151" s="6"/>
      <c r="E151" s="7"/>
      <c r="F151" s="12" t="s">
        <v>974</v>
      </c>
      <c r="G151" s="12" t="s">
        <v>975</v>
      </c>
      <c r="H151" s="12" t="s">
        <v>976</v>
      </c>
      <c r="I151" s="12" t="s">
        <v>21</v>
      </c>
      <c r="J151" s="12" t="s">
        <v>977</v>
      </c>
      <c r="K151" s="12" t="s">
        <v>978</v>
      </c>
      <c r="L151" s="7"/>
      <c r="M151" s="23" t="str">
        <f>HYPERLINK("https://www.worldrobotconference.com/expo/company/694.html","https://www.worldrobotconference.com/expo/company/694.html")</f>
        <v>https://www.worldrobotconference.com/expo/company/694.html</v>
      </c>
      <c r="N151" s="8"/>
    </row>
    <row r="152" spans="1:14" s="11" customFormat="1" ht="42" customHeight="1">
      <c r="A152" s="5" t="s">
        <v>979</v>
      </c>
      <c r="B152" s="5" t="s">
        <v>74</v>
      </c>
      <c r="C152" s="5" t="s">
        <v>980</v>
      </c>
      <c r="D152" s="6"/>
      <c r="E152" s="7"/>
      <c r="F152" s="12" t="s">
        <v>981</v>
      </c>
      <c r="G152" s="12" t="s">
        <v>982</v>
      </c>
      <c r="H152" s="12" t="s">
        <v>983</v>
      </c>
      <c r="I152" s="12" t="s">
        <v>21</v>
      </c>
      <c r="J152" s="12" t="s">
        <v>935</v>
      </c>
      <c r="K152" s="12" t="s">
        <v>984</v>
      </c>
      <c r="L152" s="7"/>
      <c r="M152" s="23" t="str">
        <f>HYPERLINK("https://www.worldrobotconference.com/expo/company/566.html","https://www.worldrobotconference.com/expo/company/566.html")</f>
        <v>https://www.worldrobotconference.com/expo/company/566.html</v>
      </c>
      <c r="N152" s="8"/>
    </row>
    <row r="153" spans="1:14" s="11" customFormat="1" ht="42" customHeight="1">
      <c r="A153" s="5" t="s">
        <v>985</v>
      </c>
      <c r="B153" s="5" t="s">
        <v>74</v>
      </c>
      <c r="C153" s="5" t="s">
        <v>986</v>
      </c>
      <c r="D153" s="6"/>
      <c r="E153" s="7"/>
      <c r="F153" s="12" t="s">
        <v>987</v>
      </c>
      <c r="G153" s="12" t="s">
        <v>988</v>
      </c>
      <c r="H153" s="12" t="s">
        <v>989</v>
      </c>
      <c r="I153" s="12" t="s">
        <v>858</v>
      </c>
      <c r="J153" s="12" t="s">
        <v>990</v>
      </c>
      <c r="K153" s="12" t="s">
        <v>991</v>
      </c>
      <c r="L153" s="7" t="s">
        <v>992</v>
      </c>
      <c r="M153" s="23" t="str">
        <f>HYPERLINK("https://www.worldrobotconference.com/expo/company/695.html","https://www.worldrobotconference.com/expo/company/695.html")</f>
        <v>https://www.worldrobotconference.com/expo/company/695.html</v>
      </c>
      <c r="N153" s="8"/>
    </row>
    <row r="154" spans="1:14" s="11" customFormat="1" ht="42" customHeight="1">
      <c r="A154" s="5" t="s">
        <v>993</v>
      </c>
      <c r="B154" s="5" t="s">
        <v>74</v>
      </c>
      <c r="C154" s="5" t="s">
        <v>994</v>
      </c>
      <c r="D154" s="6"/>
      <c r="E154" s="7"/>
      <c r="F154" s="12" t="s">
        <v>995</v>
      </c>
      <c r="G154" s="12" t="s">
        <v>996</v>
      </c>
      <c r="H154" s="12" t="s">
        <v>997</v>
      </c>
      <c r="I154" s="12" t="s">
        <v>21</v>
      </c>
      <c r="J154" s="12" t="s">
        <v>998</v>
      </c>
      <c r="K154" s="12" t="s">
        <v>999</v>
      </c>
      <c r="L154" s="7"/>
      <c r="M154" s="23" t="str">
        <f>HYPERLINK("https://www.worldrobotconference.com/expo/company/696.html","https://www.worldrobotconference.com/expo/company/696.html")</f>
        <v>https://www.worldrobotconference.com/expo/company/696.html</v>
      </c>
      <c r="N154" s="8"/>
    </row>
    <row r="155" spans="1:14" s="11" customFormat="1" ht="42" customHeight="1">
      <c r="A155" s="5" t="s">
        <v>1000</v>
      </c>
      <c r="B155" s="5" t="s">
        <v>74</v>
      </c>
      <c r="C155" s="5" t="s">
        <v>1001</v>
      </c>
      <c r="D155" s="6"/>
      <c r="E155" s="7"/>
      <c r="F155" s="12" t="s">
        <v>1002</v>
      </c>
      <c r="G155" s="12" t="s">
        <v>1003</v>
      </c>
      <c r="H155" s="12" t="s">
        <v>1004</v>
      </c>
      <c r="I155" s="12" t="s">
        <v>21</v>
      </c>
      <c r="J155" s="12" t="s">
        <v>1005</v>
      </c>
      <c r="K155" s="12" t="s">
        <v>1006</v>
      </c>
      <c r="L155" s="7"/>
      <c r="M155" s="23" t="str">
        <f>HYPERLINK("https://www.worldrobotconference.com/expo/company/547.html","https://www.worldrobotconference.com/expo/company/547.html")</f>
        <v>https://www.worldrobotconference.com/expo/company/547.html</v>
      </c>
      <c r="N155" s="8"/>
    </row>
    <row r="156" spans="1:14" s="11" customFormat="1" ht="42" customHeight="1">
      <c r="A156" s="5" t="s">
        <v>1007</v>
      </c>
      <c r="B156" s="5" t="s">
        <v>74</v>
      </c>
      <c r="C156" s="5" t="s">
        <v>1008</v>
      </c>
      <c r="D156" s="6"/>
      <c r="E156" s="7"/>
      <c r="F156" s="12" t="s">
        <v>1009</v>
      </c>
      <c r="G156" s="12" t="s">
        <v>1010</v>
      </c>
      <c r="H156" s="12" t="s">
        <v>1011</v>
      </c>
      <c r="I156" s="12" t="s">
        <v>21</v>
      </c>
      <c r="J156" s="12" t="s">
        <v>719</v>
      </c>
      <c r="K156" s="12" t="s">
        <v>1012</v>
      </c>
      <c r="L156" s="7"/>
      <c r="M156" s="23" t="str">
        <f>HYPERLINK("https://www.worldrobotconference.com/expo/company/697.html","https://www.worldrobotconference.com/expo/company/697.html")</f>
        <v>https://www.worldrobotconference.com/expo/company/697.html</v>
      </c>
      <c r="N156" s="8"/>
    </row>
    <row r="157" spans="1:14" s="11" customFormat="1" ht="42" customHeight="1">
      <c r="A157" s="5" t="s">
        <v>1013</v>
      </c>
      <c r="B157" s="5" t="s">
        <v>74</v>
      </c>
      <c r="C157" s="5" t="s">
        <v>1014</v>
      </c>
      <c r="D157" s="6"/>
      <c r="E157" s="7"/>
      <c r="F157" s="12" t="s">
        <v>1015</v>
      </c>
      <c r="G157" s="12" t="s">
        <v>1016</v>
      </c>
      <c r="H157" s="12" t="s">
        <v>1017</v>
      </c>
      <c r="I157" s="12" t="s">
        <v>21</v>
      </c>
      <c r="J157" s="12" t="s">
        <v>928</v>
      </c>
      <c r="K157" s="12" t="s">
        <v>1018</v>
      </c>
      <c r="L157" s="7"/>
      <c r="M157" s="23" t="str">
        <f>HYPERLINK("https://www.worldrobotconference.com/expo/company/699.html","https://www.worldrobotconference.com/expo/company/699.html")</f>
        <v>https://www.worldrobotconference.com/expo/company/699.html</v>
      </c>
      <c r="N157" s="8"/>
    </row>
    <row r="158" spans="1:14" s="11" customFormat="1" ht="42" customHeight="1">
      <c r="A158" s="5" t="s">
        <v>1019</v>
      </c>
      <c r="B158" s="5" t="s">
        <v>74</v>
      </c>
      <c r="C158" s="5" t="s">
        <v>1020</v>
      </c>
      <c r="D158" s="6"/>
      <c r="E158" s="7"/>
      <c r="F158" s="12" t="s">
        <v>84</v>
      </c>
      <c r="G158" s="12" t="s">
        <v>1021</v>
      </c>
      <c r="H158" s="12" t="s">
        <v>1022</v>
      </c>
      <c r="I158" s="12" t="s">
        <v>21</v>
      </c>
      <c r="J158" s="12" t="s">
        <v>1023</v>
      </c>
      <c r="K158" s="12" t="s">
        <v>1024</v>
      </c>
      <c r="L158" s="7"/>
      <c r="M158" s="23" t="str">
        <f>HYPERLINK("https://www.worldrobotconference.com/expo/company/700.html","https://www.worldrobotconference.com/expo/company/700.html")</f>
        <v>https://www.worldrobotconference.com/expo/company/700.html</v>
      </c>
      <c r="N158" s="8"/>
    </row>
    <row r="159" spans="1:14" s="11" customFormat="1" ht="42" customHeight="1">
      <c r="A159" s="5" t="s">
        <v>1025</v>
      </c>
      <c r="B159" s="5" t="s">
        <v>74</v>
      </c>
      <c r="C159" s="5" t="s">
        <v>1026</v>
      </c>
      <c r="D159" s="6"/>
      <c r="E159" s="7"/>
      <c r="F159" s="12" t="s">
        <v>1027</v>
      </c>
      <c r="G159" s="12" t="s">
        <v>84</v>
      </c>
      <c r="H159" s="12" t="s">
        <v>84</v>
      </c>
      <c r="I159" s="12" t="s">
        <v>85</v>
      </c>
      <c r="J159" s="12" t="s">
        <v>821</v>
      </c>
      <c r="K159" s="12" t="s">
        <v>1028</v>
      </c>
      <c r="L159" s="7"/>
      <c r="M159" s="23" t="str">
        <f>HYPERLINK("https://www.worldrobotconference.com/expo/company/701.html","https://www.worldrobotconference.com/expo/company/701.html")</f>
        <v>https://www.worldrobotconference.com/expo/company/701.html</v>
      </c>
      <c r="N159" s="8"/>
    </row>
    <row r="160" spans="1:14" s="11" customFormat="1" ht="42" customHeight="1">
      <c r="A160" s="5" t="s">
        <v>1029</v>
      </c>
      <c r="B160" s="5" t="s">
        <v>74</v>
      </c>
      <c r="C160" s="5" t="s">
        <v>1030</v>
      </c>
      <c r="D160" s="6"/>
      <c r="E160" s="7"/>
      <c r="F160" s="12" t="s">
        <v>1031</v>
      </c>
      <c r="G160" s="12" t="s">
        <v>1032</v>
      </c>
      <c r="H160" s="12" t="s">
        <v>1033</v>
      </c>
      <c r="I160" s="12" t="s">
        <v>21</v>
      </c>
      <c r="J160" s="12" t="s">
        <v>1034</v>
      </c>
      <c r="K160" s="12" t="s">
        <v>1035</v>
      </c>
      <c r="L160" s="7"/>
      <c r="M160" s="23" t="str">
        <f>HYPERLINK("https://www.worldrobotconference.com/expo/company/533.html","https://www.worldrobotconference.com/expo/company/533.html")</f>
        <v>https://www.worldrobotconference.com/expo/company/533.html</v>
      </c>
      <c r="N160" s="8"/>
    </row>
    <row r="161" spans="1:14" s="11" customFormat="1" ht="42" customHeight="1">
      <c r="A161" s="5" t="s">
        <v>1036</v>
      </c>
      <c r="B161" s="5" t="s">
        <v>74</v>
      </c>
      <c r="C161" s="5" t="s">
        <v>1037</v>
      </c>
      <c r="D161" s="6"/>
      <c r="E161" s="7"/>
      <c r="F161" s="12" t="s">
        <v>1038</v>
      </c>
      <c r="G161" s="12" t="s">
        <v>1039</v>
      </c>
      <c r="H161" s="12" t="s">
        <v>1040</v>
      </c>
      <c r="I161" s="12" t="s">
        <v>21</v>
      </c>
      <c r="J161" s="12" t="s">
        <v>848</v>
      </c>
      <c r="K161" s="12" t="s">
        <v>1041</v>
      </c>
      <c r="L161" s="7"/>
      <c r="M161" s="23" t="str">
        <f>HYPERLINK("https://www.worldrobotconference.com/expo/company/515.html","https://www.worldrobotconference.com/expo/company/515.html")</f>
        <v>https://www.worldrobotconference.com/expo/company/515.html</v>
      </c>
      <c r="N161" s="8"/>
    </row>
    <row r="162" spans="1:14" s="11" customFormat="1" ht="42" customHeight="1">
      <c r="A162" s="5" t="s">
        <v>1042</v>
      </c>
      <c r="B162" s="5" t="s">
        <v>74</v>
      </c>
      <c r="C162" s="5" t="s">
        <v>1043</v>
      </c>
      <c r="D162" s="6"/>
      <c r="E162" s="7"/>
      <c r="F162" s="12" t="s">
        <v>1044</v>
      </c>
      <c r="G162" s="12" t="s">
        <v>1045</v>
      </c>
      <c r="H162" s="12" t="s">
        <v>1046</v>
      </c>
      <c r="I162" s="12" t="s">
        <v>21</v>
      </c>
      <c r="J162" s="12" t="s">
        <v>1047</v>
      </c>
      <c r="K162" s="12" t="s">
        <v>1048</v>
      </c>
      <c r="L162" s="7"/>
      <c r="M162" s="23" t="str">
        <f>HYPERLINK("https://www.worldrobotconference.com/expo/company/532.html","https://www.worldrobotconference.com/expo/company/532.html")</f>
        <v>https://www.worldrobotconference.com/expo/company/532.html</v>
      </c>
      <c r="N162" s="8"/>
    </row>
    <row r="163" spans="1:14" s="11" customFormat="1" ht="42" customHeight="1">
      <c r="A163" s="5" t="s">
        <v>1049</v>
      </c>
      <c r="B163" s="5" t="s">
        <v>74</v>
      </c>
      <c r="C163" s="5" t="s">
        <v>1050</v>
      </c>
      <c r="D163" s="6"/>
      <c r="E163" s="7"/>
      <c r="F163" s="12" t="s">
        <v>1051</v>
      </c>
      <c r="G163" s="12" t="s">
        <v>1052</v>
      </c>
      <c r="H163" s="12" t="s">
        <v>1053</v>
      </c>
      <c r="I163" s="12" t="s">
        <v>21</v>
      </c>
      <c r="J163" s="12" t="s">
        <v>1054</v>
      </c>
      <c r="K163" s="12" t="s">
        <v>1055</v>
      </c>
      <c r="L163" s="7"/>
      <c r="M163" s="23" t="str">
        <f>HYPERLINK("https://www.worldrobotconference.com/expo/company/581.html","https://www.worldrobotconference.com/expo/company/581.html")</f>
        <v>https://www.worldrobotconference.com/expo/company/581.html</v>
      </c>
      <c r="N163" s="8"/>
    </row>
    <row r="164" spans="1:14" s="11" customFormat="1" ht="42" customHeight="1">
      <c r="A164" s="5" t="s">
        <v>1056</v>
      </c>
      <c r="B164" s="5" t="s">
        <v>74</v>
      </c>
      <c r="C164" s="5" t="s">
        <v>1057</v>
      </c>
      <c r="D164" s="6"/>
      <c r="E164" s="7"/>
      <c r="F164" s="12" t="s">
        <v>1058</v>
      </c>
      <c r="G164" s="12" t="s">
        <v>1059</v>
      </c>
      <c r="H164" s="12" t="s">
        <v>1060</v>
      </c>
      <c r="I164" s="12" t="s">
        <v>21</v>
      </c>
      <c r="J164" s="12" t="s">
        <v>1061</v>
      </c>
      <c r="K164" s="12" t="s">
        <v>1062</v>
      </c>
      <c r="L164" s="7"/>
      <c r="M164" s="23" t="str">
        <f>HYPERLINK("https://www.worldrobotconference.com/expo/company/555.html","https://www.worldrobotconference.com/expo/company/555.html")</f>
        <v>https://www.worldrobotconference.com/expo/company/555.html</v>
      </c>
      <c r="N164" s="8"/>
    </row>
    <row r="165" spans="1:14" s="11" customFormat="1" ht="42" customHeight="1">
      <c r="A165" s="5" t="s">
        <v>1063</v>
      </c>
      <c r="B165" s="5" t="s">
        <v>74</v>
      </c>
      <c r="C165" s="5" t="s">
        <v>1064</v>
      </c>
      <c r="D165" s="6"/>
      <c r="E165" s="7"/>
      <c r="F165" s="12" t="s">
        <v>1065</v>
      </c>
      <c r="G165" s="12" t="s">
        <v>1066</v>
      </c>
      <c r="H165" s="12" t="s">
        <v>1067</v>
      </c>
      <c r="I165" s="12" t="s">
        <v>21</v>
      </c>
      <c r="J165" s="12" t="s">
        <v>1068</v>
      </c>
      <c r="K165" s="12" t="s">
        <v>1069</v>
      </c>
      <c r="L165" s="7"/>
      <c r="M165" s="23" t="str">
        <f>HYPERLINK("https://www.worldrobotconference.com/expo/company/702.html","https://www.worldrobotconference.com/expo/company/702.html")</f>
        <v>https://www.worldrobotconference.com/expo/company/702.html</v>
      </c>
      <c r="N165" s="8"/>
    </row>
    <row r="166" spans="1:14" s="11" customFormat="1" ht="42" customHeight="1">
      <c r="A166" s="5" t="s">
        <v>1070</v>
      </c>
      <c r="B166" s="5" t="s">
        <v>74</v>
      </c>
      <c r="C166" s="5" t="s">
        <v>1071</v>
      </c>
      <c r="D166" s="6"/>
      <c r="E166" s="7"/>
      <c r="F166" s="12" t="s">
        <v>1072</v>
      </c>
      <c r="G166" s="12" t="s">
        <v>84</v>
      </c>
      <c r="H166" s="12" t="s">
        <v>84</v>
      </c>
      <c r="I166" s="12" t="s">
        <v>85</v>
      </c>
      <c r="J166" s="12" t="s">
        <v>797</v>
      </c>
      <c r="K166" s="12" t="s">
        <v>1073</v>
      </c>
      <c r="L166" s="7"/>
      <c r="M166" s="23" t="str">
        <f>HYPERLINK("https://www.worldrobotconference.com/expo/company/560.html","https://www.worldrobotconference.com/expo/company/560.html")</f>
        <v>https://www.worldrobotconference.com/expo/company/560.html</v>
      </c>
      <c r="N166" s="8"/>
    </row>
    <row r="167" spans="1:14" s="11" customFormat="1" ht="42" customHeight="1">
      <c r="A167" s="5" t="s">
        <v>1074</v>
      </c>
      <c r="B167" s="5" t="s">
        <v>74</v>
      </c>
      <c r="C167" s="5" t="s">
        <v>1075</v>
      </c>
      <c r="D167" s="6"/>
      <c r="E167" s="7"/>
      <c r="F167" s="12" t="s">
        <v>1076</v>
      </c>
      <c r="G167" s="12" t="s">
        <v>84</v>
      </c>
      <c r="H167" s="12" t="s">
        <v>84</v>
      </c>
      <c r="I167" s="12" t="s">
        <v>160</v>
      </c>
      <c r="J167" s="12" t="s">
        <v>1077</v>
      </c>
      <c r="K167" s="12" t="s">
        <v>1078</v>
      </c>
      <c r="L167" s="7"/>
      <c r="M167" s="22" t="str">
        <f>HYPERLINK("https://www.worldrobotconference.com/expo/company/703.html","https://www.worldrobotconference.com/expo/company/703.html")</f>
        <v>https://www.worldrobotconference.com/expo/company/703.html</v>
      </c>
      <c r="N167" s="8"/>
    </row>
    <row r="168" spans="1:14" s="11" customFormat="1" ht="42" customHeight="1">
      <c r="A168" s="5" t="s">
        <v>1079</v>
      </c>
      <c r="B168" s="5" t="s">
        <v>74</v>
      </c>
      <c r="C168" s="5" t="s">
        <v>1080</v>
      </c>
      <c r="D168" s="6"/>
      <c r="E168" s="7"/>
      <c r="F168" s="12" t="s">
        <v>1081</v>
      </c>
      <c r="G168" s="12" t="s">
        <v>1082</v>
      </c>
      <c r="H168" s="12" t="s">
        <v>1083</v>
      </c>
      <c r="I168" s="12" t="s">
        <v>21</v>
      </c>
      <c r="J168" s="12" t="s">
        <v>1084</v>
      </c>
      <c r="K168" s="12" t="s">
        <v>1085</v>
      </c>
      <c r="L168" s="7"/>
      <c r="M168" s="23" t="str">
        <f>HYPERLINK("https://www.worldrobotconference.com/expo/company/516.html","https://www.worldrobotconference.com/expo/company/516.html")</f>
        <v>https://www.worldrobotconference.com/expo/company/516.html</v>
      </c>
      <c r="N168" s="8"/>
    </row>
    <row r="169" spans="1:14" s="11" customFormat="1" ht="42" customHeight="1">
      <c r="A169" s="5" t="s">
        <v>1086</v>
      </c>
      <c r="B169" s="5" t="s">
        <v>74</v>
      </c>
      <c r="C169" s="5" t="s">
        <v>1087</v>
      </c>
      <c r="D169" s="6"/>
      <c r="E169" s="7"/>
      <c r="F169" s="12" t="s">
        <v>1088</v>
      </c>
      <c r="G169" s="12" t="s">
        <v>1089</v>
      </c>
      <c r="H169" s="12" t="s">
        <v>84</v>
      </c>
      <c r="I169" s="12" t="s">
        <v>1090</v>
      </c>
      <c r="J169" s="12" t="s">
        <v>1091</v>
      </c>
      <c r="K169" s="12" t="s">
        <v>1092</v>
      </c>
      <c r="L169" s="7" t="s">
        <v>1093</v>
      </c>
      <c r="M169" s="23" t="str">
        <f>HYPERLINK("https://www.worldrobotconference.com/expo/","https://www.worldrobotconference.com/expo/")</f>
        <v>https://www.worldrobotconference.com/expo/</v>
      </c>
      <c r="N169" s="8"/>
    </row>
    <row r="170" spans="1:14" s="11" customFormat="1" ht="42" customHeight="1">
      <c r="A170" s="5" t="s">
        <v>1094</v>
      </c>
      <c r="B170" s="5" t="s">
        <v>74</v>
      </c>
      <c r="C170" s="5" t="s">
        <v>1095</v>
      </c>
      <c r="D170" s="6"/>
      <c r="E170" s="7"/>
      <c r="F170" s="12" t="s">
        <v>1096</v>
      </c>
      <c r="G170" s="12" t="s">
        <v>1097</v>
      </c>
      <c r="H170" s="12" t="s">
        <v>1098</v>
      </c>
      <c r="I170" s="12" t="s">
        <v>21</v>
      </c>
      <c r="J170" s="12" t="s">
        <v>848</v>
      </c>
      <c r="K170" s="12" t="s">
        <v>1099</v>
      </c>
      <c r="L170" s="7"/>
      <c r="M170" s="23" t="str">
        <f>HYPERLINK("https://www.worldrobotconference.com/expo/company/511.html","https://www.worldrobotconference.com/expo/company/511.html")</f>
        <v>https://www.worldrobotconference.com/expo/company/511.html</v>
      </c>
      <c r="N170" s="8"/>
    </row>
    <row r="171" spans="1:14" s="11" customFormat="1" ht="42" customHeight="1">
      <c r="A171" s="5" t="s">
        <v>1100</v>
      </c>
      <c r="B171" s="5" t="s">
        <v>74</v>
      </c>
      <c r="C171" s="5" t="s">
        <v>1101</v>
      </c>
      <c r="D171" s="6"/>
      <c r="E171" s="7"/>
      <c r="F171" s="12" t="s">
        <v>1102</v>
      </c>
      <c r="G171" s="12" t="s">
        <v>1103</v>
      </c>
      <c r="H171" s="12" t="s">
        <v>1104</v>
      </c>
      <c r="I171" s="12" t="s">
        <v>21</v>
      </c>
      <c r="J171" s="12" t="s">
        <v>1105</v>
      </c>
      <c r="K171" s="12" t="s">
        <v>1106</v>
      </c>
      <c r="L171" s="7"/>
      <c r="M171" s="23" t="str">
        <f>HYPERLINK("https://www.worldrobotconference.com/expo/company/705.html","https://www.worldrobotconference.com/expo/company/705.html")</f>
        <v>https://www.worldrobotconference.com/expo/company/705.html</v>
      </c>
      <c r="N171" s="8"/>
    </row>
    <row r="172" spans="1:14" s="11" customFormat="1" ht="42" customHeight="1">
      <c r="A172" s="5" t="s">
        <v>1107</v>
      </c>
      <c r="B172" s="5" t="s">
        <v>74</v>
      </c>
      <c r="C172" s="5" t="s">
        <v>1108</v>
      </c>
      <c r="D172" s="6"/>
      <c r="E172" s="7"/>
      <c r="F172" s="12" t="s">
        <v>1109</v>
      </c>
      <c r="G172" s="12" t="s">
        <v>1110</v>
      </c>
      <c r="H172" s="12" t="s">
        <v>1111</v>
      </c>
      <c r="I172" s="12" t="s">
        <v>21</v>
      </c>
      <c r="J172" s="12" t="s">
        <v>1112</v>
      </c>
      <c r="K172" s="12" t="s">
        <v>1113</v>
      </c>
      <c r="L172" s="7"/>
      <c r="M172" s="23" t="str">
        <f>HYPERLINK("https://www.worldrobotconference.com/expo/company/706.html","https://www.worldrobotconference.com/expo/company/706.html")</f>
        <v>https://www.worldrobotconference.com/expo/company/706.html</v>
      </c>
      <c r="N172" s="8"/>
    </row>
    <row r="173" spans="1:14" s="11" customFormat="1" ht="42" customHeight="1">
      <c r="A173" s="5" t="s">
        <v>1114</v>
      </c>
      <c r="B173" s="5" t="s">
        <v>74</v>
      </c>
      <c r="C173" s="5" t="s">
        <v>1115</v>
      </c>
      <c r="D173" s="6"/>
      <c r="E173" s="7"/>
      <c r="F173" s="12" t="s">
        <v>1116</v>
      </c>
      <c r="G173" s="12" t="s">
        <v>1117</v>
      </c>
      <c r="H173" s="12" t="s">
        <v>1118</v>
      </c>
      <c r="I173" s="12" t="s">
        <v>21</v>
      </c>
      <c r="J173" s="12" t="s">
        <v>1119</v>
      </c>
      <c r="K173" s="12" t="s">
        <v>1120</v>
      </c>
      <c r="L173" s="7"/>
      <c r="M173" s="23" t="str">
        <f>HYPERLINK("https://www.worldrobotconference.com/expo/company/707.html","https://www.worldrobotconference.com/expo/company/707.html")</f>
        <v>https://www.worldrobotconference.com/expo/company/707.html</v>
      </c>
      <c r="N173" s="8"/>
    </row>
    <row r="174" spans="1:14" s="11" customFormat="1" ht="42" customHeight="1">
      <c r="A174" s="5" t="s">
        <v>1121</v>
      </c>
      <c r="B174" s="5" t="s">
        <v>74</v>
      </c>
      <c r="C174" s="5" t="s">
        <v>1122</v>
      </c>
      <c r="D174" s="6"/>
      <c r="E174" s="7"/>
      <c r="F174" s="12" t="s">
        <v>1123</v>
      </c>
      <c r="G174" s="12" t="s">
        <v>84</v>
      </c>
      <c r="H174" s="12" t="s">
        <v>84</v>
      </c>
      <c r="I174" s="12" t="s">
        <v>85</v>
      </c>
      <c r="J174" s="12" t="s">
        <v>1124</v>
      </c>
      <c r="K174" s="12" t="s">
        <v>1125</v>
      </c>
      <c r="L174" s="7"/>
      <c r="M174" s="23" t="str">
        <f>HYPERLINK("https://www.worldrobotconference.com/expo/company/708.html","https://www.worldrobotconference.com/expo/company/708.html")</f>
        <v>https://www.worldrobotconference.com/expo/company/708.html</v>
      </c>
      <c r="N174" s="8"/>
    </row>
    <row r="175" spans="1:14" s="11" customFormat="1" ht="42" customHeight="1">
      <c r="A175" s="5" t="s">
        <v>1126</v>
      </c>
      <c r="B175" s="5" t="s">
        <v>74</v>
      </c>
      <c r="C175" s="5" t="s">
        <v>1127</v>
      </c>
      <c r="D175" s="6"/>
      <c r="E175" s="7"/>
      <c r="F175" s="17" t="s">
        <v>1128</v>
      </c>
      <c r="G175" s="17" t="s">
        <v>1129</v>
      </c>
      <c r="H175" s="17" t="s">
        <v>1130</v>
      </c>
      <c r="I175" s="12" t="s">
        <v>21</v>
      </c>
      <c r="J175" s="17" t="s">
        <v>1131</v>
      </c>
      <c r="K175" s="17" t="s">
        <v>1132</v>
      </c>
      <c r="L175" s="7"/>
      <c r="M175" s="23" t="str">
        <f>HYPERLINK("https://www.worldrobotconference.com/expo/company/512.html","https://www.worldrobotconference.com/expo/company/512.html")</f>
        <v>https://www.worldrobotconference.com/expo/company/512.html</v>
      </c>
      <c r="N175" s="8"/>
    </row>
    <row r="176" spans="1:14" s="11" customFormat="1" ht="42" customHeight="1">
      <c r="A176" s="5" t="s">
        <v>1133</v>
      </c>
      <c r="B176" s="5" t="s">
        <v>74</v>
      </c>
      <c r="C176" s="5" t="s">
        <v>1134</v>
      </c>
      <c r="D176" s="6"/>
      <c r="E176" s="7"/>
      <c r="F176" s="12" t="s">
        <v>1135</v>
      </c>
      <c r="G176" s="12" t="s">
        <v>84</v>
      </c>
      <c r="H176" s="12" t="s">
        <v>84</v>
      </c>
      <c r="I176" s="12" t="s">
        <v>160</v>
      </c>
      <c r="J176" s="12" t="s">
        <v>1136</v>
      </c>
      <c r="K176" s="12" t="s">
        <v>1137</v>
      </c>
      <c r="L176" s="7"/>
      <c r="M176" s="23" t="str">
        <f>HYPERLINK("https://www.worldrobotconference.com/expo/company/523.html","https://www.worldrobotconference.com/expo/company/523.html")</f>
        <v>https://www.worldrobotconference.com/expo/company/523.html</v>
      </c>
      <c r="N176" s="8"/>
    </row>
    <row r="177" spans="1:14" s="11" customFormat="1" ht="42" customHeight="1">
      <c r="A177" s="5" t="s">
        <v>1138</v>
      </c>
      <c r="B177" s="5" t="s">
        <v>74</v>
      </c>
      <c r="C177" s="5" t="s">
        <v>1139</v>
      </c>
      <c r="D177" s="6"/>
      <c r="E177" s="7"/>
      <c r="F177" s="12" t="s">
        <v>1140</v>
      </c>
      <c r="G177" s="12" t="s">
        <v>1141</v>
      </c>
      <c r="H177" s="12" t="s">
        <v>1142</v>
      </c>
      <c r="I177" s="12" t="s">
        <v>21</v>
      </c>
      <c r="J177" s="12" t="s">
        <v>1143</v>
      </c>
      <c r="K177" s="12" t="s">
        <v>1144</v>
      </c>
      <c r="L177" s="7"/>
      <c r="M177" s="23" t="str">
        <f>HYPERLINK("https://www.worldrobotconference.com/expo/company/886.html","https://www.worldrobotconference.com/expo/company/886.html")</f>
        <v>https://www.worldrobotconference.com/expo/company/886.html</v>
      </c>
      <c r="N177" s="8"/>
    </row>
    <row r="178" spans="1:14" s="11" customFormat="1" ht="42" customHeight="1">
      <c r="A178" s="5" t="s">
        <v>1145</v>
      </c>
      <c r="B178" s="5" t="s">
        <v>74</v>
      </c>
      <c r="C178" s="5" t="s">
        <v>1146</v>
      </c>
      <c r="D178" s="6"/>
      <c r="E178" s="7"/>
      <c r="F178" s="12" t="s">
        <v>1147</v>
      </c>
      <c r="G178" s="12" t="s">
        <v>1148</v>
      </c>
      <c r="H178" s="12" t="s">
        <v>1149</v>
      </c>
      <c r="I178" s="12" t="s">
        <v>21</v>
      </c>
      <c r="J178" s="12" t="s">
        <v>1150</v>
      </c>
      <c r="K178" s="12" t="s">
        <v>1151</v>
      </c>
      <c r="L178" s="7"/>
      <c r="M178" s="23" t="str">
        <f>HYPERLINK("https://www.worldrobotconference.com/expo/company/710.html","https://www.worldrobotconference.com/expo/company/710.html")</f>
        <v>https://www.worldrobotconference.com/expo/company/710.html</v>
      </c>
      <c r="N178" s="8"/>
    </row>
    <row r="179" spans="1:14" s="11" customFormat="1" ht="42" customHeight="1">
      <c r="A179" s="5" t="s">
        <v>1152</v>
      </c>
      <c r="B179" s="5" t="s">
        <v>74</v>
      </c>
      <c r="C179" s="5" t="s">
        <v>1153</v>
      </c>
      <c r="D179" s="6"/>
      <c r="E179" s="7"/>
      <c r="F179" s="12" t="s">
        <v>1154</v>
      </c>
      <c r="G179" s="12" t="s">
        <v>1155</v>
      </c>
      <c r="H179" s="12" t="s">
        <v>1156</v>
      </c>
      <c r="I179" s="12" t="s">
        <v>21</v>
      </c>
      <c r="J179" s="12" t="s">
        <v>1157</v>
      </c>
      <c r="K179" s="12" t="s">
        <v>1158</v>
      </c>
      <c r="L179" s="7"/>
      <c r="M179" s="23" t="str">
        <f>HYPERLINK("https://www.worldrobotconference.com/expo/company/711.html","https://www.worldrobotconference.com/expo/company/711.html")</f>
        <v>https://www.worldrobotconference.com/expo/company/711.html</v>
      </c>
      <c r="N179" s="8"/>
    </row>
    <row r="180" spans="1:14" s="11" customFormat="1" ht="42" customHeight="1">
      <c r="A180" s="5" t="s">
        <v>1159</v>
      </c>
      <c r="B180" s="5" t="s">
        <v>74</v>
      </c>
      <c r="C180" s="5" t="s">
        <v>1160</v>
      </c>
      <c r="D180" s="6"/>
      <c r="E180" s="7"/>
      <c r="F180" s="12" t="s">
        <v>1161</v>
      </c>
      <c r="G180" s="12" t="s">
        <v>1162</v>
      </c>
      <c r="H180" s="12" t="s">
        <v>1163</v>
      </c>
      <c r="I180" s="12" t="s">
        <v>21</v>
      </c>
      <c r="J180" s="12" t="s">
        <v>1164</v>
      </c>
      <c r="K180" s="12" t="s">
        <v>1165</v>
      </c>
      <c r="L180" s="7"/>
      <c r="M180" s="23" t="str">
        <f>HYPERLINK("https://www.worldrobotconference.com/expo/company/712.html","https://www.worldrobotconference.com/expo/company/712.html")</f>
        <v>https://www.worldrobotconference.com/expo/company/712.html</v>
      </c>
      <c r="N180" s="8"/>
    </row>
    <row r="181" spans="1:14" s="11" customFormat="1" ht="42" customHeight="1">
      <c r="A181" s="5" t="s">
        <v>1166</v>
      </c>
      <c r="B181" s="5" t="s">
        <v>74</v>
      </c>
      <c r="C181" s="5" t="s">
        <v>1167</v>
      </c>
      <c r="D181" s="6"/>
      <c r="E181" s="7"/>
      <c r="F181" s="12" t="s">
        <v>1168</v>
      </c>
      <c r="G181" s="12" t="s">
        <v>1169</v>
      </c>
      <c r="H181" s="12" t="s">
        <v>1170</v>
      </c>
      <c r="I181" s="12" t="s">
        <v>21</v>
      </c>
      <c r="J181" s="12" t="s">
        <v>1171</v>
      </c>
      <c r="K181" s="12" t="s">
        <v>1172</v>
      </c>
      <c r="L181" s="7"/>
      <c r="M181" s="23" t="str">
        <f>HYPERLINK("https://www.worldrobotconference.com/expo/company/713.html","https://www.worldrobotconference.com/expo/company/713.html")</f>
        <v>https://www.worldrobotconference.com/expo/company/713.html</v>
      </c>
      <c r="N181" s="8"/>
    </row>
    <row r="182" spans="1:14" s="11" customFormat="1" ht="42" customHeight="1">
      <c r="A182" s="5" t="s">
        <v>1173</v>
      </c>
      <c r="B182" s="5" t="s">
        <v>272</v>
      </c>
      <c r="C182" s="5" t="s">
        <v>1174</v>
      </c>
      <c r="D182" s="6"/>
      <c r="E182" s="7"/>
      <c r="F182" s="12" t="s">
        <v>1175</v>
      </c>
      <c r="G182" s="12" t="s">
        <v>1176</v>
      </c>
      <c r="H182" s="12"/>
      <c r="I182" s="12" t="s">
        <v>21</v>
      </c>
      <c r="J182" s="12" t="s">
        <v>1177</v>
      </c>
      <c r="K182" s="12" t="s">
        <v>1178</v>
      </c>
      <c r="L182" s="7" t="s">
        <v>405</v>
      </c>
      <c r="M182" s="23" t="str">
        <f>HYPERLINK("https://www.worldrobotconference.com/expo/","https://www.worldrobotconference.com/expo/")</f>
        <v>https://www.worldrobotconference.com/expo/</v>
      </c>
      <c r="N182" s="8"/>
    </row>
    <row r="183" spans="1:14" s="11" customFormat="1" ht="42" customHeight="1">
      <c r="A183" s="5" t="s">
        <v>1186</v>
      </c>
      <c r="B183" s="5" t="s">
        <v>272</v>
      </c>
      <c r="C183" s="5" t="s">
        <v>1187</v>
      </c>
      <c r="D183" s="6"/>
      <c r="E183" s="7"/>
      <c r="F183" s="12" t="s">
        <v>1188</v>
      </c>
      <c r="G183" s="12" t="s">
        <v>1189</v>
      </c>
      <c r="H183" s="12" t="s">
        <v>1190</v>
      </c>
      <c r="I183" s="12" t="s">
        <v>21</v>
      </c>
      <c r="J183" s="12" t="s">
        <v>1191</v>
      </c>
      <c r="K183" s="12" t="s">
        <v>1192</v>
      </c>
      <c r="L183" s="7"/>
      <c r="M183" s="23" t="str">
        <f>HYPERLINK("https://www.worldrobotconference.com/expo/company/393.html","https://www.worldrobotconference.com/expo/company/393.html")</f>
        <v>https://www.worldrobotconference.com/expo/company/393.html</v>
      </c>
      <c r="N183" s="8"/>
    </row>
    <row r="184" spans="1:14" s="11" customFormat="1" ht="42" customHeight="1">
      <c r="A184" s="5" t="s">
        <v>1193</v>
      </c>
      <c r="B184" s="5" t="s">
        <v>272</v>
      </c>
      <c r="C184" s="5" t="s">
        <v>1194</v>
      </c>
      <c r="D184" s="6"/>
      <c r="E184" s="7"/>
      <c r="F184" s="12" t="s">
        <v>1195</v>
      </c>
      <c r="G184" s="12" t="s">
        <v>1196</v>
      </c>
      <c r="H184" s="12" t="s">
        <v>1197</v>
      </c>
      <c r="I184" s="12" t="s">
        <v>21</v>
      </c>
      <c r="J184" s="12" t="s">
        <v>1198</v>
      </c>
      <c r="K184" s="12" t="s">
        <v>1199</v>
      </c>
      <c r="L184" s="7"/>
      <c r="M184" s="23" t="str">
        <f>HYPERLINK("https://www.worldrobotconference.com/expo/company/764.html","https://www.worldrobotconference.com/expo/company/764.html")</f>
        <v>https://www.worldrobotconference.com/expo/company/764.html</v>
      </c>
      <c r="N184" s="8"/>
    </row>
    <row r="185" spans="1:14" s="11" customFormat="1" ht="42" customHeight="1">
      <c r="A185" s="5" t="s">
        <v>1200</v>
      </c>
      <c r="B185" s="5" t="s">
        <v>272</v>
      </c>
      <c r="C185" s="5" t="s">
        <v>1201</v>
      </c>
      <c r="D185" s="6"/>
      <c r="E185" s="7"/>
      <c r="F185" s="12" t="s">
        <v>1202</v>
      </c>
      <c r="G185" s="12" t="s">
        <v>1203</v>
      </c>
      <c r="H185" s="12" t="s">
        <v>1204</v>
      </c>
      <c r="I185" s="12" t="s">
        <v>21</v>
      </c>
      <c r="J185" s="12" t="s">
        <v>1205</v>
      </c>
      <c r="K185" s="12" t="s">
        <v>1206</v>
      </c>
      <c r="L185" s="7"/>
      <c r="M185" s="23" t="str">
        <f>HYPERLINK("https://www.worldrobotconference.com/expo/company/890.html","https://www.worldrobotconference.com/expo/company/890.html")</f>
        <v>https://www.worldrobotconference.com/expo/company/890.html</v>
      </c>
      <c r="N185" s="8"/>
    </row>
    <row r="186" spans="1:14" s="11" customFormat="1" ht="42" customHeight="1">
      <c r="A186" s="5" t="s">
        <v>1207</v>
      </c>
      <c r="B186" s="5" t="s">
        <v>272</v>
      </c>
      <c r="C186" s="5" t="s">
        <v>1208</v>
      </c>
      <c r="D186" s="6"/>
      <c r="E186" s="7"/>
      <c r="F186" s="12" t="s">
        <v>1209</v>
      </c>
      <c r="G186" s="12" t="s">
        <v>1210</v>
      </c>
      <c r="H186" s="12" t="s">
        <v>1211</v>
      </c>
      <c r="I186" s="12" t="s">
        <v>21</v>
      </c>
      <c r="J186" s="12" t="s">
        <v>1212</v>
      </c>
      <c r="K186" s="12" t="s">
        <v>1213</v>
      </c>
      <c r="L186" s="7"/>
      <c r="M186" s="23" t="str">
        <f>HYPERLINK("https://www.worldrobotconference.com/expo/company/444.html","https://www.worldrobotconference.com/expo/company/444.html")</f>
        <v>https://www.worldrobotconference.com/expo/company/444.html</v>
      </c>
      <c r="N186" s="8"/>
    </row>
    <row r="187" spans="1:14" s="11" customFormat="1" ht="42" customHeight="1">
      <c r="A187" s="5" t="s">
        <v>1214</v>
      </c>
      <c r="B187" s="5" t="s">
        <v>272</v>
      </c>
      <c r="C187" s="5" t="s">
        <v>1215</v>
      </c>
      <c r="D187" s="6"/>
      <c r="E187" s="7"/>
      <c r="F187" s="12" t="s">
        <v>1216</v>
      </c>
      <c r="G187" s="12" t="s">
        <v>1217</v>
      </c>
      <c r="H187" s="12" t="s">
        <v>1218</v>
      </c>
      <c r="I187" s="12" t="s">
        <v>21</v>
      </c>
      <c r="J187" s="12" t="s">
        <v>1219</v>
      </c>
      <c r="K187" s="12" t="s">
        <v>1220</v>
      </c>
      <c r="L187" s="7"/>
      <c r="M187" s="23" t="str">
        <f>HYPERLINK("https://www.worldrobotconference.com/expo/company/491.html","https://www.worldrobotconference.com/expo/company/491.html")</f>
        <v>https://www.worldrobotconference.com/expo/company/491.html</v>
      </c>
      <c r="N187" s="8"/>
    </row>
    <row r="188" spans="1:14" s="11" customFormat="1" ht="42" customHeight="1">
      <c r="A188" s="5" t="s">
        <v>1221</v>
      </c>
      <c r="B188" s="6" t="s">
        <v>272</v>
      </c>
      <c r="C188" s="5" t="s">
        <v>1222</v>
      </c>
      <c r="D188" s="6"/>
      <c r="E188" s="7"/>
      <c r="F188" s="17" t="s">
        <v>1223</v>
      </c>
      <c r="G188" s="17" t="s">
        <v>1224</v>
      </c>
      <c r="H188" s="17" t="s">
        <v>1225</v>
      </c>
      <c r="I188" s="12" t="s">
        <v>21</v>
      </c>
      <c r="J188" s="17" t="s">
        <v>1226</v>
      </c>
      <c r="K188" s="17" t="s">
        <v>1227</v>
      </c>
      <c r="L188" s="7"/>
      <c r="M188" s="23" t="str">
        <f>HYPERLINK("https://www.worldrobotconference.com/expo/company/765.html","https://www.worldrobotconference.com/expo/company/765.html")</f>
        <v>https://www.worldrobotconference.com/expo/company/765.html</v>
      </c>
      <c r="N188" s="6"/>
    </row>
    <row r="189" spans="1:14" s="11" customFormat="1" ht="42" customHeight="1">
      <c r="A189" s="5" t="s">
        <v>1228</v>
      </c>
      <c r="B189" s="5" t="s">
        <v>272</v>
      </c>
      <c r="C189" s="5" t="s">
        <v>1229</v>
      </c>
      <c r="D189" s="6"/>
      <c r="E189" s="7"/>
      <c r="F189" s="12" t="s">
        <v>1230</v>
      </c>
      <c r="G189" s="12" t="s">
        <v>1231</v>
      </c>
      <c r="H189" s="12" t="s">
        <v>1232</v>
      </c>
      <c r="I189" s="12" t="s">
        <v>21</v>
      </c>
      <c r="J189" s="12" t="s">
        <v>1233</v>
      </c>
      <c r="K189" s="12" t="s">
        <v>1234</v>
      </c>
      <c r="L189" s="7"/>
      <c r="M189" s="23" t="str">
        <f>HYPERLINK("https://www.worldrobotconference.com/expo/company/500.html","https://www.worldrobotconference.com/expo/company/500.html")</f>
        <v>https://www.worldrobotconference.com/expo/company/500.html</v>
      </c>
      <c r="N189" s="8"/>
    </row>
    <row r="190" spans="1:14" s="11" customFormat="1" ht="42" customHeight="1">
      <c r="A190" s="5" t="s">
        <v>1235</v>
      </c>
      <c r="B190" s="5" t="s">
        <v>272</v>
      </c>
      <c r="C190" s="5" t="s">
        <v>1236</v>
      </c>
      <c r="D190" s="6"/>
      <c r="E190" s="7"/>
      <c r="F190" s="12" t="s">
        <v>1769</v>
      </c>
      <c r="G190" s="12" t="s">
        <v>1770</v>
      </c>
      <c r="H190" s="12" t="s">
        <v>1771</v>
      </c>
      <c r="I190" s="12" t="s">
        <v>21</v>
      </c>
      <c r="J190" s="12" t="s">
        <v>1772</v>
      </c>
      <c r="K190" s="12" t="s">
        <v>1773</v>
      </c>
      <c r="L190" s="7" t="s">
        <v>1774</v>
      </c>
      <c r="M190" s="22" t="str">
        <f>HYPERLINK("https://www.worldrobotconference.com/expo/company/861.html","https://www.worldrobotconference.com/expo/company/861.html")</f>
        <v>https://www.worldrobotconference.com/expo/company/861.html</v>
      </c>
      <c r="N190" s="8"/>
    </row>
    <row r="191" spans="1:14" s="11" customFormat="1" ht="27">
      <c r="A191" s="5" t="s">
        <v>1243</v>
      </c>
      <c r="B191" s="5" t="s">
        <v>272</v>
      </c>
      <c r="C191" s="5" t="s">
        <v>1244</v>
      </c>
      <c r="D191" s="6"/>
      <c r="E191" s="7"/>
      <c r="F191" s="12" t="s">
        <v>1245</v>
      </c>
      <c r="G191" s="12" t="s">
        <v>1246</v>
      </c>
      <c r="H191" s="12" t="s">
        <v>84</v>
      </c>
      <c r="I191" s="12" t="s">
        <v>21</v>
      </c>
      <c r="J191" s="12" t="s">
        <v>1247</v>
      </c>
      <c r="K191" s="12" t="s">
        <v>1248</v>
      </c>
      <c r="L191" s="7" t="s">
        <v>1249</v>
      </c>
      <c r="M191" s="23" t="str">
        <f>HYPERLINK("https://www.worldrobotconference.com/expo/","https://www.worldrobotconference.com/expo/")</f>
        <v>https://www.worldrobotconference.com/expo/</v>
      </c>
      <c r="N191" s="8"/>
    </row>
    <row r="192" spans="1:14" s="11" customFormat="1" ht="40.5">
      <c r="A192" s="5" t="s">
        <v>1256</v>
      </c>
      <c r="B192" s="5" t="s">
        <v>272</v>
      </c>
      <c r="C192" s="5" t="s">
        <v>1250</v>
      </c>
      <c r="D192" s="6"/>
      <c r="E192" s="7"/>
      <c r="F192" s="12" t="s">
        <v>1251</v>
      </c>
      <c r="G192" s="12" t="s">
        <v>1252</v>
      </c>
      <c r="H192" s="12" t="s">
        <v>1253</v>
      </c>
      <c r="I192" s="12" t="s">
        <v>21</v>
      </c>
      <c r="J192" s="12" t="s">
        <v>1254</v>
      </c>
      <c r="K192" s="12" t="s">
        <v>1255</v>
      </c>
      <c r="L192" s="7"/>
      <c r="M192" s="23" t="str">
        <f>HYPERLINK("https://www.worldrobotconference.com/expo/company/473.html","https://www.worldrobotconference.com/expo/company/473.html")</f>
        <v>https://www.worldrobotconference.com/expo/company/473.html</v>
      </c>
      <c r="N192" s="8"/>
    </row>
    <row r="193" spans="1:14" s="11" customFormat="1" ht="42" customHeight="1">
      <c r="A193" s="5" t="s">
        <v>1263</v>
      </c>
      <c r="B193" s="5" t="s">
        <v>272</v>
      </c>
      <c r="C193" s="5" t="s">
        <v>1257</v>
      </c>
      <c r="D193" s="6"/>
      <c r="E193" s="7"/>
      <c r="F193" s="12" t="s">
        <v>1258</v>
      </c>
      <c r="G193" s="12" t="s">
        <v>1259</v>
      </c>
      <c r="H193" s="12" t="s">
        <v>1260</v>
      </c>
      <c r="I193" s="12" t="s">
        <v>21</v>
      </c>
      <c r="J193" s="12" t="s">
        <v>1261</v>
      </c>
      <c r="K193" s="12" t="s">
        <v>1262</v>
      </c>
      <c r="L193" s="7"/>
      <c r="M193" s="23" t="str">
        <f>HYPERLINK("https://www.worldrobotconference.com/expo/company/766.html","https://www.worldrobotconference.com/expo/company/766.html")</f>
        <v>https://www.worldrobotconference.com/expo/company/766.html</v>
      </c>
      <c r="N193" s="8"/>
    </row>
    <row r="194" spans="1:14" s="11" customFormat="1" ht="42" customHeight="1">
      <c r="A194" s="5" t="s">
        <v>1270</v>
      </c>
      <c r="B194" s="5" t="s">
        <v>272</v>
      </c>
      <c r="C194" s="5" t="s">
        <v>1264</v>
      </c>
      <c r="D194" s="6"/>
      <c r="E194" s="7"/>
      <c r="F194" s="12" t="s">
        <v>1265</v>
      </c>
      <c r="G194" s="12" t="s">
        <v>1266</v>
      </c>
      <c r="H194" s="12" t="s">
        <v>1267</v>
      </c>
      <c r="I194" s="12" t="s">
        <v>21</v>
      </c>
      <c r="J194" s="12" t="s">
        <v>1268</v>
      </c>
      <c r="K194" s="12" t="s">
        <v>1269</v>
      </c>
      <c r="L194" s="7"/>
      <c r="M194" s="23" t="str">
        <f>HYPERLINK("https://www.worldrobotconference.com/expo/company/767.html","https://www.worldrobotconference.com/expo/company/767.html")</f>
        <v>https://www.worldrobotconference.com/expo/company/767.html</v>
      </c>
      <c r="N194" s="8"/>
    </row>
    <row r="195" spans="1:14" s="11" customFormat="1" ht="42" customHeight="1">
      <c r="A195" s="5" t="s">
        <v>1277</v>
      </c>
      <c r="B195" s="5" t="s">
        <v>272</v>
      </c>
      <c r="C195" s="5" t="s">
        <v>1271</v>
      </c>
      <c r="D195" s="6"/>
      <c r="E195" s="7"/>
      <c r="F195" s="12" t="s">
        <v>1272</v>
      </c>
      <c r="G195" s="12" t="s">
        <v>1273</v>
      </c>
      <c r="H195" s="12" t="s">
        <v>1274</v>
      </c>
      <c r="I195" s="12" t="s">
        <v>21</v>
      </c>
      <c r="J195" s="12" t="s">
        <v>1275</v>
      </c>
      <c r="K195" s="12" t="s">
        <v>1276</v>
      </c>
      <c r="L195" s="7"/>
      <c r="M195" s="23" t="str">
        <f>HYPERLINK("https://www.worldrobotconference.com/expo/company/768.html","https://www.worldrobotconference.com/expo/company/768.html")</f>
        <v>https://www.worldrobotconference.com/expo/company/768.html</v>
      </c>
      <c r="N195" s="8"/>
    </row>
    <row r="196" spans="1:14" s="11" customFormat="1" ht="42" customHeight="1">
      <c r="A196" s="5" t="s">
        <v>1284</v>
      </c>
      <c r="B196" s="5" t="s">
        <v>272</v>
      </c>
      <c r="C196" s="5" t="s">
        <v>1278</v>
      </c>
      <c r="D196" s="6"/>
      <c r="E196" s="7"/>
      <c r="F196" s="12" t="s">
        <v>1279</v>
      </c>
      <c r="G196" s="12" t="s">
        <v>1280</v>
      </c>
      <c r="H196" s="12" t="s">
        <v>1281</v>
      </c>
      <c r="I196" s="12" t="s">
        <v>21</v>
      </c>
      <c r="J196" s="12" t="s">
        <v>1282</v>
      </c>
      <c r="K196" s="12" t="s">
        <v>1283</v>
      </c>
      <c r="L196" s="7"/>
      <c r="M196" s="23" t="str">
        <f>HYPERLINK("https://www.worldrobotconference.com/expo/","https://www.worldrobotconference.com/expo/")</f>
        <v>https://www.worldrobotconference.com/expo/</v>
      </c>
      <c r="N196" s="8"/>
    </row>
    <row r="197" spans="1:14" s="11" customFormat="1" ht="42" customHeight="1">
      <c r="A197" s="5" t="s">
        <v>1291</v>
      </c>
      <c r="B197" s="5" t="s">
        <v>272</v>
      </c>
      <c r="C197" s="5" t="s">
        <v>1285</v>
      </c>
      <c r="D197" s="6"/>
      <c r="E197" s="7"/>
      <c r="F197" s="12" t="s">
        <v>1286</v>
      </c>
      <c r="G197" s="12" t="s">
        <v>1287</v>
      </c>
      <c r="H197" s="12" t="s">
        <v>1288</v>
      </c>
      <c r="I197" s="12" t="s">
        <v>21</v>
      </c>
      <c r="J197" s="12" t="s">
        <v>1289</v>
      </c>
      <c r="K197" s="12" t="s">
        <v>1290</v>
      </c>
      <c r="L197" s="7"/>
      <c r="M197" s="23" t="str">
        <f>HYPERLINK("https://www.worldrobotconference.com/expo/company/770.html","https://www.worldrobotconference.com/expo/company/770.html")</f>
        <v>https://www.worldrobotconference.com/expo/company/770.html</v>
      </c>
      <c r="N197" s="8"/>
    </row>
    <row r="198" spans="1:14" s="11" customFormat="1" ht="42" customHeight="1">
      <c r="A198" s="5" t="s">
        <v>1298</v>
      </c>
      <c r="B198" s="5" t="s">
        <v>272</v>
      </c>
      <c r="C198" s="5" t="s">
        <v>1292</v>
      </c>
      <c r="D198" s="6"/>
      <c r="E198" s="7"/>
      <c r="F198" s="12" t="s">
        <v>1293</v>
      </c>
      <c r="G198" s="12" t="s">
        <v>1294</v>
      </c>
      <c r="H198" s="12" t="s">
        <v>1295</v>
      </c>
      <c r="I198" s="12" t="s">
        <v>21</v>
      </c>
      <c r="J198" s="12" t="s">
        <v>1296</v>
      </c>
      <c r="K198" s="12" t="s">
        <v>1297</v>
      </c>
      <c r="L198" s="7"/>
      <c r="M198" s="23" t="str">
        <f>HYPERLINK("https://www.worldrobotconference.com/expo/company/501.html","https://www.worldrobotconference.com/expo/company/501.html")</f>
        <v>https://www.worldrobotconference.com/expo/company/501.html</v>
      </c>
      <c r="N198" s="8"/>
    </row>
    <row r="199" spans="1:14" s="11" customFormat="1" ht="42" customHeight="1">
      <c r="A199" s="5" t="s">
        <v>1305</v>
      </c>
      <c r="B199" s="5" t="s">
        <v>272</v>
      </c>
      <c r="C199" s="5" t="s">
        <v>1299</v>
      </c>
      <c r="D199" s="6"/>
      <c r="E199" s="7"/>
      <c r="F199" s="12" t="s">
        <v>1300</v>
      </c>
      <c r="G199" s="12" t="s">
        <v>1301</v>
      </c>
      <c r="H199" s="12" t="s">
        <v>1302</v>
      </c>
      <c r="I199" s="12" t="s">
        <v>21</v>
      </c>
      <c r="J199" s="12" t="s">
        <v>1303</v>
      </c>
      <c r="K199" s="12" t="s">
        <v>1304</v>
      </c>
      <c r="L199" s="7"/>
      <c r="M199" s="23" t="str">
        <f>HYPERLINK("https://www.worldrobotconference.com/expo/company/772.html","https://www.worldrobotconference.com/expo/company/772.html")</f>
        <v>https://www.worldrobotconference.com/expo/company/772.html</v>
      </c>
      <c r="N199" s="8"/>
    </row>
    <row r="200" spans="1:14" s="11" customFormat="1" ht="42" customHeight="1">
      <c r="A200" s="5" t="s">
        <v>1312</v>
      </c>
      <c r="B200" s="5" t="s">
        <v>272</v>
      </c>
      <c r="C200" s="5" t="s">
        <v>1306</v>
      </c>
      <c r="D200" s="6"/>
      <c r="E200" s="7"/>
      <c r="F200" s="12" t="s">
        <v>1307</v>
      </c>
      <c r="G200" s="12" t="s">
        <v>1308</v>
      </c>
      <c r="H200" s="12" t="s">
        <v>1309</v>
      </c>
      <c r="I200" s="12" t="s">
        <v>21</v>
      </c>
      <c r="J200" s="12" t="s">
        <v>1310</v>
      </c>
      <c r="K200" s="12" t="s">
        <v>1311</v>
      </c>
      <c r="L200" s="7"/>
      <c r="M200" s="23" t="str">
        <f>HYPERLINK("https://www.worldrobotconference.com/expo/company/773.html","https://www.worldrobotconference.com/expo/company/773.html")</f>
        <v>https://www.worldrobotconference.com/expo/company/773.html</v>
      </c>
      <c r="N200" s="8"/>
    </row>
    <row r="201" spans="1:14" s="11" customFormat="1" ht="42" customHeight="1">
      <c r="A201" s="5" t="s">
        <v>1319</v>
      </c>
      <c r="B201" s="5" t="s">
        <v>272</v>
      </c>
      <c r="C201" s="5" t="s">
        <v>1313</v>
      </c>
      <c r="D201" s="6"/>
      <c r="E201" s="7"/>
      <c r="F201" s="12" t="s">
        <v>1314</v>
      </c>
      <c r="G201" s="12" t="s">
        <v>1315</v>
      </c>
      <c r="H201" s="12" t="s">
        <v>1316</v>
      </c>
      <c r="I201" s="12" t="s">
        <v>21</v>
      </c>
      <c r="J201" s="12" t="s">
        <v>1317</v>
      </c>
      <c r="K201" s="12" t="s">
        <v>1318</v>
      </c>
      <c r="L201" s="7"/>
      <c r="M201" s="23" t="str">
        <f>HYPERLINK("https://www.worldrobotconference.com/expo/company/458.html","https://www.worldrobotconference.com/expo/company/458.html")</f>
        <v>https://www.worldrobotconference.com/expo/company/458.html</v>
      </c>
      <c r="N201" s="8"/>
    </row>
    <row r="202" spans="1:14" s="11" customFormat="1" ht="42" customHeight="1">
      <c r="A202" s="5" t="s">
        <v>1326</v>
      </c>
      <c r="B202" s="5" t="s">
        <v>272</v>
      </c>
      <c r="C202" s="5" t="s">
        <v>1320</v>
      </c>
      <c r="D202" s="6"/>
      <c r="E202" s="7"/>
      <c r="F202" s="12" t="s">
        <v>1321</v>
      </c>
      <c r="G202" s="12" t="s">
        <v>1322</v>
      </c>
      <c r="H202" s="12" t="s">
        <v>1323</v>
      </c>
      <c r="I202" s="12" t="s">
        <v>21</v>
      </c>
      <c r="J202" s="12" t="s">
        <v>1324</v>
      </c>
      <c r="K202" s="12" t="s">
        <v>1325</v>
      </c>
      <c r="L202" s="7"/>
      <c r="M202" s="23" t="str">
        <f>HYPERLINK("https://www.worldrobotconference.com/expo/company/774.html","https://www.worldrobotconference.com/expo/company/774.html")</f>
        <v>https://www.worldrobotconference.com/expo/company/774.html</v>
      </c>
      <c r="N202" s="8"/>
    </row>
    <row r="203" spans="1:14" s="11" customFormat="1" ht="42" customHeight="1">
      <c r="A203" s="5" t="s">
        <v>1333</v>
      </c>
      <c r="B203" s="5" t="s">
        <v>272</v>
      </c>
      <c r="C203" s="5" t="s">
        <v>1327</v>
      </c>
      <c r="D203" s="6"/>
      <c r="E203" s="7"/>
      <c r="F203" s="12" t="s">
        <v>1328</v>
      </c>
      <c r="G203" s="12" t="s">
        <v>1329</v>
      </c>
      <c r="H203" s="12" t="s">
        <v>1330</v>
      </c>
      <c r="I203" s="12" t="s">
        <v>21</v>
      </c>
      <c r="J203" s="12" t="s">
        <v>1331</v>
      </c>
      <c r="K203" s="12" t="s">
        <v>1332</v>
      </c>
      <c r="L203" s="7"/>
      <c r="M203" s="23" t="str">
        <f>HYPERLINK("https://www.worldrobotconference.com/expo/company/469.html","https://www.worldrobotconference.com/expo/company/469.html")</f>
        <v>https://www.worldrobotconference.com/expo/company/469.html</v>
      </c>
      <c r="N203" s="8"/>
    </row>
    <row r="204" spans="1:14" s="11" customFormat="1" ht="42" customHeight="1">
      <c r="A204" s="5" t="s">
        <v>1341</v>
      </c>
      <c r="B204" s="5" t="s">
        <v>272</v>
      </c>
      <c r="C204" s="5" t="s">
        <v>1334</v>
      </c>
      <c r="D204" s="6"/>
      <c r="E204" s="7"/>
      <c r="F204" s="12" t="s">
        <v>1335</v>
      </c>
      <c r="G204" s="12" t="s">
        <v>1336</v>
      </c>
      <c r="H204" s="12" t="s">
        <v>1337</v>
      </c>
      <c r="I204" s="12" t="s">
        <v>21</v>
      </c>
      <c r="J204" s="12" t="s">
        <v>1338</v>
      </c>
      <c r="K204" s="12" t="s">
        <v>1339</v>
      </c>
      <c r="L204" s="7" t="s">
        <v>1340</v>
      </c>
      <c r="M204" s="23" t="str">
        <f>HYPERLINK("https://www.worldrobotconference.com/expo/company/394.html","https://www.worldrobotconference.com/expo/company/394.html")</f>
        <v>https://www.worldrobotconference.com/expo/company/394.html</v>
      </c>
      <c r="N204" s="8"/>
    </row>
    <row r="205" spans="1:14" s="11" customFormat="1" ht="42" customHeight="1">
      <c r="A205" s="5" t="s">
        <v>1348</v>
      </c>
      <c r="B205" s="5" t="s">
        <v>272</v>
      </c>
      <c r="C205" s="5" t="s">
        <v>1342</v>
      </c>
      <c r="D205" s="6"/>
      <c r="E205" s="7"/>
      <c r="F205" s="12" t="s">
        <v>1343</v>
      </c>
      <c r="G205" s="12" t="s">
        <v>1344</v>
      </c>
      <c r="H205" s="12" t="s">
        <v>1345</v>
      </c>
      <c r="I205" s="12" t="s">
        <v>21</v>
      </c>
      <c r="J205" s="12" t="s">
        <v>1346</v>
      </c>
      <c r="K205" s="12" t="s">
        <v>1347</v>
      </c>
      <c r="L205" s="7" t="s">
        <v>1340</v>
      </c>
      <c r="M205" s="23" t="str">
        <f>HYPERLINK("https://www.worldrobotconference.com/expo/company/395.html","https://www.worldrobotconference.com/expo/company/395.html")</f>
        <v>https://www.worldrobotconference.com/expo/company/395.html</v>
      </c>
      <c r="N205" s="8"/>
    </row>
    <row r="206" spans="1:14" s="11" customFormat="1" ht="42" customHeight="1">
      <c r="A206" s="5" t="s">
        <v>1350</v>
      </c>
      <c r="B206" s="5" t="s">
        <v>272</v>
      </c>
      <c r="C206" s="5" t="s">
        <v>1349</v>
      </c>
      <c r="D206" s="6"/>
      <c r="E206" s="7"/>
      <c r="F206" s="12" t="s">
        <v>369</v>
      </c>
      <c r="G206" s="12" t="s">
        <v>370</v>
      </c>
      <c r="H206" s="12" t="s">
        <v>371</v>
      </c>
      <c r="I206" s="12" t="s">
        <v>21</v>
      </c>
      <c r="J206" s="12" t="s">
        <v>372</v>
      </c>
      <c r="K206" s="12" t="s">
        <v>373</v>
      </c>
      <c r="L206" s="7"/>
      <c r="M206" s="23" t="str">
        <f>HYPERLINK("https://www.worldrobotconference.com/expo/company/611.html","https://www.worldrobotconference.com/expo/company/611.html")</f>
        <v>https://www.worldrobotconference.com/expo/company/611.html</v>
      </c>
      <c r="N206" s="8"/>
    </row>
    <row r="207" spans="1:14" s="11" customFormat="1" ht="42" customHeight="1">
      <c r="A207" s="5" t="s">
        <v>1369</v>
      </c>
      <c r="B207" s="5" t="s">
        <v>272</v>
      </c>
      <c r="C207" s="5" t="s">
        <v>1356</v>
      </c>
      <c r="D207" s="6"/>
      <c r="E207" s="7"/>
      <c r="F207" s="12" t="s">
        <v>1357</v>
      </c>
      <c r="G207" s="12" t="s">
        <v>1358</v>
      </c>
      <c r="H207" s="12" t="s">
        <v>1359</v>
      </c>
      <c r="I207" s="12" t="s">
        <v>21</v>
      </c>
      <c r="J207" s="12" t="s">
        <v>1360</v>
      </c>
      <c r="K207" s="12" t="s">
        <v>1361</v>
      </c>
      <c r="L207" s="7"/>
      <c r="M207" s="23" t="str">
        <f>HYPERLINK("https://www.worldrobotconference.com/expo/company/775.html","https://www.worldrobotconference.com/expo/company/775.html")</f>
        <v>https://www.worldrobotconference.com/expo/company/775.html</v>
      </c>
      <c r="N207" s="8"/>
    </row>
    <row r="208" spans="1:14" s="11" customFormat="1" ht="42" customHeight="1">
      <c r="A208" s="5" t="s">
        <v>320</v>
      </c>
      <c r="B208" s="5" t="s">
        <v>272</v>
      </c>
      <c r="C208" s="5" t="s">
        <v>1363</v>
      </c>
      <c r="D208" s="6"/>
      <c r="E208" s="7"/>
      <c r="F208" s="12" t="s">
        <v>1364</v>
      </c>
      <c r="G208" s="12" t="s">
        <v>1365</v>
      </c>
      <c r="H208" s="12" t="s">
        <v>1366</v>
      </c>
      <c r="I208" s="12" t="s">
        <v>21</v>
      </c>
      <c r="J208" s="12" t="s">
        <v>1367</v>
      </c>
      <c r="K208" s="12" t="s">
        <v>1368</v>
      </c>
      <c r="L208" s="7"/>
      <c r="M208" s="23" t="str">
        <f>HYPERLINK("https://www.worldrobotconference.com/expo/company/776.html","https://www.worldrobotconference.com/expo/company/776.html")</f>
        <v>https://www.worldrobotconference.com/expo/company/776.html</v>
      </c>
      <c r="N208" s="8"/>
    </row>
    <row r="209" spans="1:14" s="11" customFormat="1" ht="42" customHeight="1">
      <c r="A209" s="5" t="s">
        <v>1380</v>
      </c>
      <c r="B209" s="5" t="s">
        <v>272</v>
      </c>
      <c r="C209" s="5" t="s">
        <v>1370</v>
      </c>
      <c r="D209" s="6"/>
      <c r="E209" s="7"/>
      <c r="F209" s="12" t="s">
        <v>1371</v>
      </c>
      <c r="G209" s="12" t="s">
        <v>1372</v>
      </c>
      <c r="H209" s="12" t="s">
        <v>1373</v>
      </c>
      <c r="I209" s="12" t="s">
        <v>21</v>
      </c>
      <c r="J209" s="12" t="s">
        <v>740</v>
      </c>
      <c r="K209" s="12" t="s">
        <v>741</v>
      </c>
      <c r="L209" s="7"/>
      <c r="M209" s="23" t="str">
        <f>HYPERLINK("https://www.worldrobotconference.com/expo/company/777.html","https://www.worldrobotconference.com/expo/company/777.html")</f>
        <v>https://www.worldrobotconference.com/expo/company/777.html</v>
      </c>
      <c r="N209" s="8"/>
    </row>
    <row r="210" spans="1:14" s="11" customFormat="1" ht="42" customHeight="1">
      <c r="A210" s="5" t="s">
        <v>1394</v>
      </c>
      <c r="B210" s="5" t="s">
        <v>272</v>
      </c>
      <c r="C210" s="5" t="s">
        <v>1374</v>
      </c>
      <c r="D210" s="6"/>
      <c r="E210" s="7"/>
      <c r="F210" s="12" t="s">
        <v>1375</v>
      </c>
      <c r="G210" s="12" t="s">
        <v>1376</v>
      </c>
      <c r="H210" s="12" t="s">
        <v>1377</v>
      </c>
      <c r="I210" s="12" t="s">
        <v>21</v>
      </c>
      <c r="J210" s="12" t="s">
        <v>1378</v>
      </c>
      <c r="K210" s="12" t="s">
        <v>1379</v>
      </c>
      <c r="L210" s="7"/>
      <c r="M210" s="23" t="str">
        <f>HYPERLINK("https://www.worldrobotconference.com/expo/company/778.html","https://www.worldrobotconference.com/expo/company/778.html")</f>
        <v>https://www.worldrobotconference.com/expo/company/778.html</v>
      </c>
      <c r="N210" s="8"/>
    </row>
    <row r="211" spans="1:14" s="11" customFormat="1" ht="42" customHeight="1">
      <c r="A211" s="5" t="s">
        <v>1401</v>
      </c>
      <c r="B211" s="5" t="s">
        <v>272</v>
      </c>
      <c r="C211" s="5" t="s">
        <v>1381</v>
      </c>
      <c r="D211" s="6"/>
      <c r="E211" s="7"/>
      <c r="F211" s="12" t="s">
        <v>1382</v>
      </c>
      <c r="G211" s="12" t="s">
        <v>1383</v>
      </c>
      <c r="H211" s="12" t="s">
        <v>1384</v>
      </c>
      <c r="I211" s="12" t="s">
        <v>21</v>
      </c>
      <c r="J211" s="12" t="s">
        <v>1385</v>
      </c>
      <c r="K211" s="12" t="s">
        <v>1386</v>
      </c>
      <c r="L211" s="7"/>
      <c r="M211" s="23" t="str">
        <f>HYPERLINK("https://www.worldrobotconference.com/expo/company/476.html","https://www.worldrobotconference.com/expo/company/476.html")</f>
        <v>https://www.worldrobotconference.com/expo/company/476.html</v>
      </c>
      <c r="N211" s="8"/>
    </row>
    <row r="212" spans="1:14" s="11" customFormat="1" ht="42" customHeight="1">
      <c r="A212" s="5" t="s">
        <v>1413</v>
      </c>
      <c r="B212" s="5" t="s">
        <v>272</v>
      </c>
      <c r="C212" s="5" t="s">
        <v>1395</v>
      </c>
      <c r="D212" s="6"/>
      <c r="E212" s="7"/>
      <c r="F212" s="12" t="s">
        <v>1396</v>
      </c>
      <c r="G212" s="12" t="s">
        <v>1397</v>
      </c>
      <c r="H212" s="12" t="s">
        <v>1398</v>
      </c>
      <c r="I212" s="12" t="s">
        <v>21</v>
      </c>
      <c r="J212" s="12" t="s">
        <v>1399</v>
      </c>
      <c r="K212" s="12" t="s">
        <v>1400</v>
      </c>
      <c r="L212" s="7"/>
      <c r="M212" s="23" t="str">
        <f>HYPERLINK("https://www.worldrobotconference.com/expo/company/582.html","https://www.worldrobotconference.com/expo/company/582.html")</f>
        <v>https://www.worldrobotconference.com/expo/company/582.html</v>
      </c>
      <c r="N212" s="8"/>
    </row>
    <row r="213" spans="1:14" s="11" customFormat="1" ht="42" customHeight="1">
      <c r="A213" s="5" t="s">
        <v>1427</v>
      </c>
      <c r="B213" s="5" t="s">
        <v>272</v>
      </c>
      <c r="C213" s="5" t="s">
        <v>1409</v>
      </c>
      <c r="D213" s="6"/>
      <c r="E213" s="7"/>
      <c r="F213" s="12" t="s">
        <v>1410</v>
      </c>
      <c r="G213" s="12" t="s">
        <v>1411</v>
      </c>
      <c r="H213" s="12" t="s">
        <v>1412</v>
      </c>
      <c r="I213" s="12" t="s">
        <v>21</v>
      </c>
      <c r="J213" s="12" t="s">
        <v>740</v>
      </c>
      <c r="K213" s="12" t="s">
        <v>741</v>
      </c>
      <c r="L213" s="7"/>
      <c r="M213" s="23" t="str">
        <f>HYPERLINK("https://www.worldrobotconference.com/expo/company/709.html","https://www.worldrobotconference.com/expo/company/709.html")</f>
        <v>https://www.worldrobotconference.com/expo/company/709.html</v>
      </c>
      <c r="N213" s="8"/>
    </row>
    <row r="214" spans="1:14" s="11" customFormat="1" ht="42" customHeight="1">
      <c r="A214" s="5" t="s">
        <v>1434</v>
      </c>
      <c r="B214" s="5" t="s">
        <v>272</v>
      </c>
      <c r="C214" s="5" t="s">
        <v>1414</v>
      </c>
      <c r="D214" s="6"/>
      <c r="E214" s="7"/>
      <c r="F214" s="12" t="s">
        <v>1415</v>
      </c>
      <c r="G214" s="12" t="s">
        <v>1416</v>
      </c>
      <c r="H214" s="12" t="s">
        <v>1417</v>
      </c>
      <c r="I214" s="12" t="s">
        <v>21</v>
      </c>
      <c r="J214" s="12" t="s">
        <v>1418</v>
      </c>
      <c r="K214" s="12" t="s">
        <v>1419</v>
      </c>
      <c r="L214" s="7"/>
      <c r="M214" s="23" t="str">
        <f>HYPERLINK("https://www.worldrobotconference.com/expo/company/435.html","https://www.worldrobotconference.com/expo/company/435.html")</f>
        <v>https://www.worldrobotconference.com/expo/company/435.html</v>
      </c>
      <c r="N214" s="8"/>
    </row>
    <row r="215" spans="1:14" s="11" customFormat="1" ht="42" customHeight="1">
      <c r="A215" s="5" t="s">
        <v>1442</v>
      </c>
      <c r="B215" s="5" t="s">
        <v>272</v>
      </c>
      <c r="C215" s="5" t="s">
        <v>1421</v>
      </c>
      <c r="D215" s="6"/>
      <c r="E215" s="7"/>
      <c r="F215" s="12" t="s">
        <v>1422</v>
      </c>
      <c r="G215" s="12" t="s">
        <v>1423</v>
      </c>
      <c r="H215" s="12" t="s">
        <v>1424</v>
      </c>
      <c r="I215" s="12" t="s">
        <v>21</v>
      </c>
      <c r="J215" s="12" t="s">
        <v>1425</v>
      </c>
      <c r="K215" s="12" t="s">
        <v>1426</v>
      </c>
      <c r="L215" s="7"/>
      <c r="M215" s="23" t="str">
        <f>HYPERLINK("https://www.worldrobotconference.com/expo/company/447.html","https://www.worldrobotconference.com/expo/company/447.html")</f>
        <v>https://www.worldrobotconference.com/expo/company/447.html</v>
      </c>
      <c r="N215" s="8"/>
    </row>
    <row r="216" spans="1:14" s="11" customFormat="1" ht="42" customHeight="1">
      <c r="A216" s="5" t="s">
        <v>1449</v>
      </c>
      <c r="B216" s="5" t="s">
        <v>272</v>
      </c>
      <c r="C216" s="5" t="s">
        <v>1428</v>
      </c>
      <c r="D216" s="6"/>
      <c r="E216" s="7"/>
      <c r="F216" s="12" t="s">
        <v>1429</v>
      </c>
      <c r="G216" s="12" t="s">
        <v>1430</v>
      </c>
      <c r="H216" s="12" t="s">
        <v>1431</v>
      </c>
      <c r="I216" s="12" t="s">
        <v>21</v>
      </c>
      <c r="J216" s="12" t="s">
        <v>1432</v>
      </c>
      <c r="K216" s="12" t="s">
        <v>1433</v>
      </c>
      <c r="L216" s="7"/>
      <c r="M216" s="23" t="str">
        <f>HYPERLINK("https://www.worldrobotconference.com/expo/company/409.html","https://www.worldrobotconference.com/expo/company/409.html")</f>
        <v>https://www.worldrobotconference.com/expo/company/409.html</v>
      </c>
      <c r="N216" s="8"/>
    </row>
    <row r="217" spans="1:14" s="11" customFormat="1" ht="42" customHeight="1">
      <c r="A217" s="5" t="s">
        <v>1456</v>
      </c>
      <c r="B217" s="5" t="s">
        <v>272</v>
      </c>
      <c r="C217" s="5" t="s">
        <v>1435</v>
      </c>
      <c r="D217" s="6"/>
      <c r="E217" s="7"/>
      <c r="F217" s="12" t="s">
        <v>1436</v>
      </c>
      <c r="G217" s="12" t="s">
        <v>1437</v>
      </c>
      <c r="H217" s="12" t="s">
        <v>1438</v>
      </c>
      <c r="I217" s="12" t="s">
        <v>21</v>
      </c>
      <c r="J217" s="12" t="s">
        <v>1439</v>
      </c>
      <c r="K217" s="12" t="s">
        <v>1440</v>
      </c>
      <c r="L217" s="7" t="s">
        <v>1441</v>
      </c>
      <c r="M217" s="23" t="str">
        <f>HYPERLINK("https://www.worldrobotconference.com/expo/company/780.html","https://www.worldrobotconference.com/expo/company/780.html")</f>
        <v>https://www.worldrobotconference.com/expo/company/780.html</v>
      </c>
      <c r="N217" s="8"/>
    </row>
    <row r="218" spans="1:14" s="11" customFormat="1" ht="42" customHeight="1">
      <c r="A218" s="5" t="s">
        <v>1463</v>
      </c>
      <c r="B218" s="5" t="s">
        <v>272</v>
      </c>
      <c r="C218" s="5" t="s">
        <v>1443</v>
      </c>
      <c r="D218" s="6"/>
      <c r="E218" s="7"/>
      <c r="F218" s="12" t="s">
        <v>1444</v>
      </c>
      <c r="G218" s="12" t="s">
        <v>1445</v>
      </c>
      <c r="H218" s="12" t="s">
        <v>1446</v>
      </c>
      <c r="I218" s="12" t="s">
        <v>21</v>
      </c>
      <c r="J218" s="12" t="s">
        <v>1447</v>
      </c>
      <c r="K218" s="12" t="s">
        <v>1448</v>
      </c>
      <c r="L218" s="7"/>
      <c r="M218" s="23" t="str">
        <f>HYPERLINK("https://www.worldrobotconference.com/expo/company/781.html","https://www.worldrobotconference.com/expo/company/781.html")</f>
        <v>https://www.worldrobotconference.com/expo/company/781.html</v>
      </c>
      <c r="N218" s="8"/>
    </row>
    <row r="219" spans="1:14" s="11" customFormat="1" ht="42" customHeight="1">
      <c r="A219" s="5" t="s">
        <v>327</v>
      </c>
      <c r="B219" s="5" t="s">
        <v>272</v>
      </c>
      <c r="C219" s="5" t="s">
        <v>1450</v>
      </c>
      <c r="D219" s="6"/>
      <c r="E219" s="7"/>
      <c r="F219" s="12" t="s">
        <v>1451</v>
      </c>
      <c r="G219" s="12" t="s">
        <v>1452</v>
      </c>
      <c r="H219" s="12" t="s">
        <v>1453</v>
      </c>
      <c r="I219" s="12" t="s">
        <v>21</v>
      </c>
      <c r="J219" s="12" t="s">
        <v>1454</v>
      </c>
      <c r="K219" s="12" t="s">
        <v>1455</v>
      </c>
      <c r="L219" s="7"/>
      <c r="M219" s="23" t="str">
        <f>HYPERLINK("https://www.worldrobotconference.com/expo/company/460.html","https://www.worldrobotconference.com/expo/company/460.html")</f>
        <v>https://www.worldrobotconference.com/expo/company/460.html</v>
      </c>
      <c r="N219" s="8"/>
    </row>
    <row r="220" spans="1:14" s="11" customFormat="1" ht="42" customHeight="1">
      <c r="A220" s="5" t="s">
        <v>1475</v>
      </c>
      <c r="B220" s="5" t="s">
        <v>272</v>
      </c>
      <c r="C220" s="5" t="s">
        <v>1457</v>
      </c>
      <c r="D220" s="6"/>
      <c r="E220" s="7"/>
      <c r="F220" s="12" t="s">
        <v>1458</v>
      </c>
      <c r="G220" s="12" t="s">
        <v>1459</v>
      </c>
      <c r="H220" s="12" t="s">
        <v>1460</v>
      </c>
      <c r="I220" s="12" t="s">
        <v>21</v>
      </c>
      <c r="J220" s="12" t="s">
        <v>1461</v>
      </c>
      <c r="K220" s="12" t="s">
        <v>1462</v>
      </c>
      <c r="L220" s="7"/>
      <c r="M220" s="23" t="str">
        <f>HYPERLINK("https://www.worldrobotconference.com/expo/company/593.html","https://www.worldrobotconference.com/expo/company/593.html")</f>
        <v>https://www.worldrobotconference.com/expo/company/593.html</v>
      </c>
      <c r="N220" s="8"/>
    </row>
    <row r="221" spans="1:14" s="11" customFormat="1" ht="42" customHeight="1">
      <c r="A221" s="5" t="s">
        <v>1482</v>
      </c>
      <c r="B221" s="5" t="s">
        <v>272</v>
      </c>
      <c r="C221" s="5" t="s">
        <v>1464</v>
      </c>
      <c r="D221" s="6"/>
      <c r="E221" s="7"/>
      <c r="F221" s="12" t="s">
        <v>1465</v>
      </c>
      <c r="G221" s="12" t="s">
        <v>1466</v>
      </c>
      <c r="H221" s="12" t="s">
        <v>1467</v>
      </c>
      <c r="I221" s="12" t="s">
        <v>21</v>
      </c>
      <c r="J221" s="12" t="s">
        <v>22</v>
      </c>
      <c r="K221" s="12" t="s">
        <v>1468</v>
      </c>
      <c r="L221" s="7"/>
      <c r="M221" s="23" t="str">
        <f>HYPERLINK("https://www.worldrobotconference.com/expo/company/450.html","https://www.worldrobotconference.com/expo/company/450.html")</f>
        <v>https://www.worldrobotconference.com/expo/company/450.html</v>
      </c>
      <c r="N221" s="8"/>
    </row>
    <row r="222" spans="1:14" s="11" customFormat="1" ht="42" customHeight="1">
      <c r="A222" s="5" t="s">
        <v>1497</v>
      </c>
      <c r="B222" s="5" t="s">
        <v>272</v>
      </c>
      <c r="C222" s="5" t="s">
        <v>1469</v>
      </c>
      <c r="D222" s="6"/>
      <c r="E222" s="7"/>
      <c r="F222" s="12" t="s">
        <v>1470</v>
      </c>
      <c r="G222" s="12" t="s">
        <v>1471</v>
      </c>
      <c r="H222" s="12" t="s">
        <v>1472</v>
      </c>
      <c r="I222" s="12" t="s">
        <v>21</v>
      </c>
      <c r="J222" s="12" t="s">
        <v>1473</v>
      </c>
      <c r="K222" s="12" t="s">
        <v>1474</v>
      </c>
      <c r="L222" s="7"/>
      <c r="M222" s="23" t="str">
        <f>HYPERLINK("https://www.worldrobotconference.com/expo/company/408.html","https://www.worldrobotconference.com/expo/company/408.html")</f>
        <v>https://www.worldrobotconference.com/expo/company/408.html</v>
      </c>
      <c r="N222" s="8"/>
    </row>
    <row r="223" spans="1:14" s="11" customFormat="1" ht="42" customHeight="1">
      <c r="A223" s="5" t="s">
        <v>1504</v>
      </c>
      <c r="B223" s="5" t="s">
        <v>272</v>
      </c>
      <c r="C223" s="5" t="s">
        <v>1476</v>
      </c>
      <c r="D223" s="6"/>
      <c r="E223" s="7"/>
      <c r="F223" s="12" t="s">
        <v>1477</v>
      </c>
      <c r="G223" s="12" t="s">
        <v>1478</v>
      </c>
      <c r="H223" s="12" t="s">
        <v>1479</v>
      </c>
      <c r="I223" s="12" t="s">
        <v>21</v>
      </c>
      <c r="J223" s="12" t="s">
        <v>1480</v>
      </c>
      <c r="K223" s="12" t="s">
        <v>1481</v>
      </c>
      <c r="L223" s="7"/>
      <c r="M223" s="23" t="str">
        <f>HYPERLINK("https://www.worldrobotconference.com/expo/company/782.html","https://www.worldrobotconference.com/expo/company/782.html")</f>
        <v>https://www.worldrobotconference.com/expo/company/782.html</v>
      </c>
      <c r="N223" s="8"/>
    </row>
    <row r="224" spans="1:14" s="11" customFormat="1" ht="42" customHeight="1">
      <c r="A224" s="5" t="s">
        <v>1511</v>
      </c>
      <c r="B224" s="5" t="s">
        <v>1483</v>
      </c>
      <c r="C224" s="5" t="s">
        <v>1484</v>
      </c>
      <c r="D224" s="6"/>
      <c r="E224" s="7"/>
      <c r="F224" s="12" t="s">
        <v>1485</v>
      </c>
      <c r="G224" s="12" t="s">
        <v>1486</v>
      </c>
      <c r="H224" s="12" t="s">
        <v>1487</v>
      </c>
      <c r="I224" s="12" t="s">
        <v>21</v>
      </c>
      <c r="J224" s="12" t="s">
        <v>1488</v>
      </c>
      <c r="K224" s="12" t="s">
        <v>1489</v>
      </c>
      <c r="L224" s="7"/>
      <c r="M224" s="23" t="str">
        <f>HYPERLINK("https://www.worldrobotconference.com/expo/company/783.html","https://www.worldrobotconference.com/expo/company/783.html")</f>
        <v>https://www.worldrobotconference.com/expo/company/783.html</v>
      </c>
      <c r="N224" s="8"/>
    </row>
    <row r="225" spans="1:14" s="11" customFormat="1" ht="42" customHeight="1">
      <c r="A225" s="5" t="s">
        <v>1517</v>
      </c>
      <c r="B225" s="5" t="s">
        <v>1483</v>
      </c>
      <c r="C225" s="5" t="s">
        <v>1491</v>
      </c>
      <c r="D225" s="6"/>
      <c r="E225" s="7"/>
      <c r="F225" s="12" t="s">
        <v>1492</v>
      </c>
      <c r="G225" s="12" t="s">
        <v>1493</v>
      </c>
      <c r="H225" s="12" t="s">
        <v>1494</v>
      </c>
      <c r="I225" s="12" t="s">
        <v>21</v>
      </c>
      <c r="J225" s="12" t="s">
        <v>1495</v>
      </c>
      <c r="K225" s="12" t="s">
        <v>1496</v>
      </c>
      <c r="L225" s="7"/>
      <c r="M225" s="23" t="str">
        <f>HYPERLINK("https://www.worldrobotconference.com/expo/company/502.html","https://www.worldrobotconference.com/expo/company/502.html")</f>
        <v>https://www.worldrobotconference.com/expo/company/502.html</v>
      </c>
      <c r="N225" s="8"/>
    </row>
    <row r="226" spans="1:14" s="11" customFormat="1" ht="42" customHeight="1">
      <c r="A226" s="5" t="s">
        <v>1520</v>
      </c>
      <c r="B226" s="5" t="s">
        <v>1483</v>
      </c>
      <c r="C226" s="5" t="s">
        <v>1498</v>
      </c>
      <c r="D226" s="6"/>
      <c r="E226" s="7"/>
      <c r="F226" s="12" t="s">
        <v>1499</v>
      </c>
      <c r="G226" s="12" t="s">
        <v>1500</v>
      </c>
      <c r="H226" s="12" t="s">
        <v>1501</v>
      </c>
      <c r="I226" s="12" t="s">
        <v>21</v>
      </c>
      <c r="J226" s="12" t="s">
        <v>1502</v>
      </c>
      <c r="K226" s="12" t="s">
        <v>1503</v>
      </c>
      <c r="L226" s="7"/>
      <c r="M226" s="23" t="str">
        <f>HYPERLINK("https://www.worldrobotconference.com/expo/company/561.html","https://www.worldrobotconference.com/expo/company/561.html")</f>
        <v>https://www.worldrobotconference.com/expo/company/561.html</v>
      </c>
      <c r="N226" s="8"/>
    </row>
    <row r="227" spans="1:14" s="11" customFormat="1" ht="42" customHeight="1">
      <c r="A227" s="5" t="s">
        <v>1527</v>
      </c>
      <c r="B227" s="5" t="s">
        <v>1483</v>
      </c>
      <c r="C227" s="5" t="s">
        <v>1505</v>
      </c>
      <c r="D227" s="6"/>
      <c r="E227" s="7"/>
      <c r="F227" s="12" t="s">
        <v>1506</v>
      </c>
      <c r="G227" s="12" t="s">
        <v>1507</v>
      </c>
      <c r="H227" s="12" t="s">
        <v>1508</v>
      </c>
      <c r="I227" s="12" t="s">
        <v>21</v>
      </c>
      <c r="J227" s="12" t="s">
        <v>1509</v>
      </c>
      <c r="K227" s="12" t="s">
        <v>1510</v>
      </c>
      <c r="L227" s="7"/>
      <c r="M227" s="23" t="str">
        <f>HYPERLINK("https://www.worldrobotconference.com/expo/company/595.html","https://www.worldrobotconference.com/expo/company/595.html")</f>
        <v>https://www.worldrobotconference.com/expo/company/595.html</v>
      </c>
      <c r="N227" s="8"/>
    </row>
    <row r="228" spans="1:14" s="11" customFormat="1" ht="42" customHeight="1">
      <c r="A228" s="5" t="s">
        <v>1534</v>
      </c>
      <c r="B228" s="5" t="s">
        <v>1483</v>
      </c>
      <c r="C228" s="5" t="s">
        <v>1512</v>
      </c>
      <c r="D228" s="6"/>
      <c r="E228" s="7"/>
      <c r="F228" s="12" t="s">
        <v>1513</v>
      </c>
      <c r="G228" s="12" t="s">
        <v>1514</v>
      </c>
      <c r="H228" s="12" t="s">
        <v>1515</v>
      </c>
      <c r="I228" s="12" t="s">
        <v>21</v>
      </c>
      <c r="J228" s="12" t="s">
        <v>172</v>
      </c>
      <c r="K228" s="12" t="s">
        <v>1516</v>
      </c>
      <c r="L228" s="7"/>
      <c r="M228" s="23" t="str">
        <f>HYPERLINK("https://www.worldrobotconference.com/expo/company/874.html","https://www.worldrobotconference.com/expo/company/874.html")</f>
        <v>https://www.worldrobotconference.com/expo/company/874.html</v>
      </c>
      <c r="N228" s="8"/>
    </row>
    <row r="229" spans="1:14" s="11" customFormat="1" ht="42" customHeight="1">
      <c r="A229" s="5" t="s">
        <v>1541</v>
      </c>
      <c r="B229" s="5" t="s">
        <v>1483</v>
      </c>
      <c r="C229" s="5" t="s">
        <v>1518</v>
      </c>
      <c r="D229" s="6"/>
      <c r="E229" s="7"/>
      <c r="F229" s="12" t="s">
        <v>356</v>
      </c>
      <c r="G229" s="12" t="s">
        <v>357</v>
      </c>
      <c r="H229" s="12" t="s">
        <v>1519</v>
      </c>
      <c r="I229" s="12" t="s">
        <v>21</v>
      </c>
      <c r="J229" s="12" t="s">
        <v>359</v>
      </c>
      <c r="K229" s="12" t="s">
        <v>360</v>
      </c>
      <c r="L229" s="7"/>
      <c r="M229" s="23" t="str">
        <f>HYPERLINK("https://www.worldrobotconference.com/expo/company/398.html","https://www.worldrobotconference.com/expo/company/398.html")</f>
        <v>https://www.worldrobotconference.com/expo/company/398.html</v>
      </c>
      <c r="N229" s="8"/>
    </row>
    <row r="230" spans="1:14" s="11" customFormat="1" ht="42" customHeight="1">
      <c r="A230" s="5" t="s">
        <v>1548</v>
      </c>
      <c r="B230" s="5" t="s">
        <v>1483</v>
      </c>
      <c r="C230" s="5" t="s">
        <v>1521</v>
      </c>
      <c r="D230" s="6"/>
      <c r="E230" s="7"/>
      <c r="F230" s="12" t="s">
        <v>1522</v>
      </c>
      <c r="G230" s="12" t="s">
        <v>1523</v>
      </c>
      <c r="H230" s="12" t="s">
        <v>1524</v>
      </c>
      <c r="I230" s="12" t="s">
        <v>21</v>
      </c>
      <c r="J230" s="12" t="s">
        <v>1525</v>
      </c>
      <c r="K230" s="12" t="s">
        <v>1526</v>
      </c>
      <c r="L230" s="7"/>
      <c r="M230" s="23" t="str">
        <f>HYPERLINK("https://www.worldrobotconference.com/expo/company/786.html","https://www.worldrobotconference.com/expo/company/786.html")</f>
        <v>https://www.worldrobotconference.com/expo/company/786.html</v>
      </c>
      <c r="N230" s="8"/>
    </row>
    <row r="231" spans="1:14" s="11" customFormat="1" ht="42" customHeight="1">
      <c r="A231" s="5" t="s">
        <v>1555</v>
      </c>
      <c r="B231" s="5" t="s">
        <v>1483</v>
      </c>
      <c r="C231" s="5" t="s">
        <v>1528</v>
      </c>
      <c r="D231" s="6"/>
      <c r="E231" s="7"/>
      <c r="F231" s="12" t="s">
        <v>1529</v>
      </c>
      <c r="G231" s="12" t="s">
        <v>1530</v>
      </c>
      <c r="H231" s="12" t="s">
        <v>1531</v>
      </c>
      <c r="I231" s="12" t="s">
        <v>21</v>
      </c>
      <c r="J231" s="12" t="s">
        <v>1532</v>
      </c>
      <c r="K231" s="12" t="s">
        <v>1533</v>
      </c>
      <c r="L231" s="7"/>
      <c r="M231" s="23" t="str">
        <f>HYPERLINK("https://www.worldrobotconference.com/expo/company/787.html","https://www.worldrobotconference.com/expo/company/787.html")</f>
        <v>https://www.worldrobotconference.com/expo/company/787.html</v>
      </c>
      <c r="N231" s="8"/>
    </row>
    <row r="232" spans="1:14" s="11" customFormat="1" ht="42" customHeight="1">
      <c r="A232" s="5" t="s">
        <v>1562</v>
      </c>
      <c r="B232" s="5" t="s">
        <v>1483</v>
      </c>
      <c r="C232" s="5" t="s">
        <v>1535</v>
      </c>
      <c r="D232" s="6"/>
      <c r="E232" s="7"/>
      <c r="F232" s="12" t="s">
        <v>1536</v>
      </c>
      <c r="G232" s="12" t="s">
        <v>1537</v>
      </c>
      <c r="H232" s="12" t="s">
        <v>1538</v>
      </c>
      <c r="I232" s="12" t="s">
        <v>21</v>
      </c>
      <c r="J232" s="12" t="s">
        <v>1539</v>
      </c>
      <c r="K232" s="12" t="s">
        <v>1540</v>
      </c>
      <c r="L232" s="7"/>
      <c r="M232" s="23" t="str">
        <f>HYPERLINK("https://www.worldrobotconference.com/expo/company/788.html","https://www.worldrobotconference.com/expo/company/788.html")</f>
        <v>https://www.worldrobotconference.com/expo/company/788.html</v>
      </c>
      <c r="N232" s="8"/>
    </row>
    <row r="233" spans="1:14" s="11" customFormat="1" ht="42" customHeight="1">
      <c r="A233" s="5" t="s">
        <v>1569</v>
      </c>
      <c r="B233" s="5" t="s">
        <v>1483</v>
      </c>
      <c r="C233" s="5" t="s">
        <v>1542</v>
      </c>
      <c r="D233" s="6"/>
      <c r="E233" s="7"/>
      <c r="F233" s="12" t="s">
        <v>1543</v>
      </c>
      <c r="G233" s="12" t="s">
        <v>1544</v>
      </c>
      <c r="H233" s="12" t="s">
        <v>1545</v>
      </c>
      <c r="I233" s="12" t="s">
        <v>21</v>
      </c>
      <c r="J233" s="12" t="s">
        <v>1546</v>
      </c>
      <c r="K233" s="12" t="s">
        <v>1547</v>
      </c>
      <c r="L233" s="7"/>
      <c r="M233" s="23" t="str">
        <f>HYPERLINK("https://www.worldrobotconference.com/expo/company/789.html","https://www.worldrobotconference.com/expo/company/789.html")</f>
        <v>https://www.worldrobotconference.com/expo/company/789.html</v>
      </c>
      <c r="N233" s="8"/>
    </row>
    <row r="234" spans="1:14" s="11" customFormat="1" ht="42" customHeight="1">
      <c r="A234" s="5" t="s">
        <v>1576</v>
      </c>
      <c r="B234" s="5" t="s">
        <v>1483</v>
      </c>
      <c r="C234" s="5" t="s">
        <v>1549</v>
      </c>
      <c r="D234" s="6"/>
      <c r="E234" s="7"/>
      <c r="F234" s="12" t="s">
        <v>1550</v>
      </c>
      <c r="G234" s="12" t="s">
        <v>1551</v>
      </c>
      <c r="H234" s="12" t="s">
        <v>1552</v>
      </c>
      <c r="I234" s="12" t="s">
        <v>21</v>
      </c>
      <c r="J234" s="12" t="s">
        <v>1553</v>
      </c>
      <c r="K234" s="12" t="s">
        <v>1554</v>
      </c>
      <c r="L234" s="7"/>
      <c r="M234" s="23" t="str">
        <f>HYPERLINK("https://www.worldrobotconference.com/expo/company/790.html","https://www.worldrobotconference.com/expo/company/790.html")</f>
        <v>https://www.worldrobotconference.com/expo/company/790.html</v>
      </c>
      <c r="N234" s="8"/>
    </row>
    <row r="235" spans="1:14" s="11" customFormat="1" ht="42" customHeight="1">
      <c r="A235" s="5" t="s">
        <v>1582</v>
      </c>
      <c r="B235" s="5" t="s">
        <v>1483</v>
      </c>
      <c r="C235" s="5" t="s">
        <v>1556</v>
      </c>
      <c r="D235" s="6"/>
      <c r="E235" s="7"/>
      <c r="F235" s="12" t="s">
        <v>1557</v>
      </c>
      <c r="G235" s="12" t="s">
        <v>1558</v>
      </c>
      <c r="H235" s="12" t="s">
        <v>1559</v>
      </c>
      <c r="I235" s="12" t="s">
        <v>21</v>
      </c>
      <c r="J235" s="12" t="s">
        <v>1560</v>
      </c>
      <c r="K235" s="12" t="s">
        <v>1561</v>
      </c>
      <c r="L235" s="7"/>
      <c r="M235" s="23" t="str">
        <f>HYPERLINK("https://www.worldrobotconference.com/expo/company/586.html","https://www.worldrobotconference.com/expo/company/586.html")</f>
        <v>https://www.worldrobotconference.com/expo/company/586.html</v>
      </c>
      <c r="N235" s="8"/>
    </row>
    <row r="236" spans="1:14" s="11" customFormat="1" ht="42" customHeight="1">
      <c r="A236" s="5" t="s">
        <v>1589</v>
      </c>
      <c r="B236" s="5" t="s">
        <v>1483</v>
      </c>
      <c r="C236" s="5" t="s">
        <v>1563</v>
      </c>
      <c r="D236" s="6"/>
      <c r="E236" s="7"/>
      <c r="F236" s="12" t="s">
        <v>1564</v>
      </c>
      <c r="G236" s="12" t="s">
        <v>1565</v>
      </c>
      <c r="H236" s="12" t="s">
        <v>1566</v>
      </c>
      <c r="I236" s="12" t="s">
        <v>21</v>
      </c>
      <c r="J236" s="12" t="s">
        <v>1567</v>
      </c>
      <c r="K236" s="12" t="s">
        <v>1568</v>
      </c>
      <c r="L236" s="7"/>
      <c r="M236" s="23" t="str">
        <f>HYPERLINK("https://www.worldrobotconference.com/expo/company/489.html","https://www.worldrobotconference.com/expo/company/489.html")</f>
        <v>https://www.worldrobotconference.com/expo/company/489.html</v>
      </c>
      <c r="N236" s="8"/>
    </row>
    <row r="237" spans="1:14" s="11" customFormat="1" ht="42" customHeight="1">
      <c r="A237" s="5" t="s">
        <v>1596</v>
      </c>
      <c r="B237" s="5" t="s">
        <v>1483</v>
      </c>
      <c r="C237" s="5" t="s">
        <v>1570</v>
      </c>
      <c r="D237" s="6"/>
      <c r="E237" s="7"/>
      <c r="F237" s="12" t="s">
        <v>1571</v>
      </c>
      <c r="G237" s="12" t="s">
        <v>1572</v>
      </c>
      <c r="H237" s="12" t="s">
        <v>1573</v>
      </c>
      <c r="I237" s="12" t="s">
        <v>21</v>
      </c>
      <c r="J237" s="12" t="s">
        <v>1574</v>
      </c>
      <c r="K237" s="12" t="s">
        <v>1575</v>
      </c>
      <c r="L237" s="7"/>
      <c r="M237" s="23" t="str">
        <f>HYPERLINK("https://www.worldrobotconference.com/expo/company/480.html","https://www.worldrobotconference.com/expo/company/480.html")</f>
        <v>https://www.worldrobotconference.com/expo/company/480.html</v>
      </c>
      <c r="N237" s="8"/>
    </row>
    <row r="238" spans="1:14" s="11" customFormat="1" ht="42" customHeight="1">
      <c r="A238" s="5" t="s">
        <v>1603</v>
      </c>
      <c r="B238" s="5" t="s">
        <v>1483</v>
      </c>
      <c r="C238" s="5" t="s">
        <v>1577</v>
      </c>
      <c r="D238" s="6"/>
      <c r="E238" s="7"/>
      <c r="F238" s="12" t="s">
        <v>1578</v>
      </c>
      <c r="G238" s="12" t="s">
        <v>1579</v>
      </c>
      <c r="H238" s="12" t="s">
        <v>1580</v>
      </c>
      <c r="I238" s="12" t="s">
        <v>21</v>
      </c>
      <c r="J238" s="12" t="s">
        <v>460</v>
      </c>
      <c r="K238" s="12" t="s">
        <v>1581</v>
      </c>
      <c r="L238" s="7"/>
      <c r="M238" s="23" t="str">
        <f>HYPERLINK("https://www.worldrobotconference.com/expo/company/456.html","https://www.worldrobotconference.com/expo/company/456.html")</f>
        <v>https://www.worldrobotconference.com/expo/company/456.html</v>
      </c>
      <c r="N238" s="8"/>
    </row>
    <row r="239" spans="1:14" s="11" customFormat="1" ht="42" customHeight="1">
      <c r="A239" s="5" t="s">
        <v>1610</v>
      </c>
      <c r="B239" s="5" t="s">
        <v>1483</v>
      </c>
      <c r="C239" s="5" t="s">
        <v>1583</v>
      </c>
      <c r="D239" s="6"/>
      <c r="E239" s="7"/>
      <c r="F239" s="12" t="s">
        <v>1584</v>
      </c>
      <c r="G239" s="12" t="s">
        <v>1585</v>
      </c>
      <c r="H239" s="12" t="s">
        <v>1586</v>
      </c>
      <c r="I239" s="12" t="s">
        <v>21</v>
      </c>
      <c r="J239" s="12" t="s">
        <v>1587</v>
      </c>
      <c r="K239" s="12" t="s">
        <v>1588</v>
      </c>
      <c r="L239" s="7"/>
      <c r="M239" s="23" t="str">
        <f>HYPERLINK("https://www.worldrobotconference.com/expo/company/791.html","https://www.worldrobotconference.com/expo/company/791.html")</f>
        <v>https://www.worldrobotconference.com/expo/company/791.html</v>
      </c>
      <c r="N239" s="8"/>
    </row>
    <row r="240" spans="1:14" s="11" customFormat="1" ht="42" customHeight="1">
      <c r="A240" s="5" t="s">
        <v>1617</v>
      </c>
      <c r="B240" s="5" t="s">
        <v>1483</v>
      </c>
      <c r="C240" s="5" t="s">
        <v>1590</v>
      </c>
      <c r="D240" s="6"/>
      <c r="E240" s="7"/>
      <c r="F240" s="12" t="s">
        <v>1591</v>
      </c>
      <c r="G240" s="12" t="s">
        <v>1592</v>
      </c>
      <c r="H240" s="12" t="s">
        <v>1593</v>
      </c>
      <c r="I240" s="12" t="s">
        <v>21</v>
      </c>
      <c r="J240" s="12" t="s">
        <v>1594</v>
      </c>
      <c r="K240" s="12" t="s">
        <v>1595</v>
      </c>
      <c r="L240" s="7"/>
      <c r="M240" s="23" t="str">
        <f>HYPERLINK("https://www.worldrobotconference.com/expo/company/792.html","https://www.worldrobotconference.com/expo/company/792.html")</f>
        <v>https://www.worldrobotconference.com/expo/company/792.html</v>
      </c>
      <c r="N240" s="8"/>
    </row>
    <row r="241" spans="1:14" s="11" customFormat="1" ht="42" customHeight="1">
      <c r="A241" s="5" t="s">
        <v>1624</v>
      </c>
      <c r="B241" s="5" t="s">
        <v>1483</v>
      </c>
      <c r="C241" s="5" t="s">
        <v>1597</v>
      </c>
      <c r="D241" s="6"/>
      <c r="E241" s="7"/>
      <c r="F241" s="12" t="s">
        <v>1598</v>
      </c>
      <c r="G241" s="12" t="s">
        <v>1599</v>
      </c>
      <c r="H241" s="12" t="s">
        <v>1600</v>
      </c>
      <c r="I241" s="12" t="s">
        <v>21</v>
      </c>
      <c r="J241" s="12" t="s">
        <v>1601</v>
      </c>
      <c r="K241" s="12" t="s">
        <v>1602</v>
      </c>
      <c r="L241" s="7"/>
      <c r="M241" s="23" t="str">
        <f>HYPERLINK("https://www.worldrobotconference.com/expo/company/467.html","https://www.worldrobotconference.com/expo/company/467.html")</f>
        <v>https://www.worldrobotconference.com/expo/company/467.html</v>
      </c>
      <c r="N241" s="8"/>
    </row>
    <row r="242" spans="1:14" s="11" customFormat="1" ht="42" customHeight="1">
      <c r="A242" s="5" t="s">
        <v>1631</v>
      </c>
      <c r="B242" s="5" t="s">
        <v>1483</v>
      </c>
      <c r="C242" s="5" t="s">
        <v>1604</v>
      </c>
      <c r="D242" s="6"/>
      <c r="E242" s="7"/>
      <c r="F242" s="12" t="s">
        <v>1605</v>
      </c>
      <c r="G242" s="12" t="s">
        <v>1606</v>
      </c>
      <c r="H242" s="12" t="s">
        <v>1607</v>
      </c>
      <c r="I242" s="12" t="s">
        <v>21</v>
      </c>
      <c r="J242" s="12" t="s">
        <v>1608</v>
      </c>
      <c r="K242" s="12" t="s">
        <v>1609</v>
      </c>
      <c r="L242" s="7"/>
      <c r="M242" s="23" t="str">
        <f>HYPERLINK("https://www.worldrobotconference.com/expo/company/417.html","https://www.worldrobotconference.com/expo/company/417.html")</f>
        <v>https://www.worldrobotconference.com/expo/company/417.html</v>
      </c>
      <c r="N242" s="8"/>
    </row>
    <row r="243" spans="1:14" s="11" customFormat="1" ht="42" customHeight="1">
      <c r="A243" s="5" t="s">
        <v>1636</v>
      </c>
      <c r="B243" s="5" t="s">
        <v>1483</v>
      </c>
      <c r="C243" s="5" t="s">
        <v>1611</v>
      </c>
      <c r="D243" s="6"/>
      <c r="E243" s="7"/>
      <c r="F243" s="12" t="s">
        <v>1612</v>
      </c>
      <c r="G243" s="12" t="s">
        <v>1613</v>
      </c>
      <c r="H243" s="12" t="s">
        <v>1614</v>
      </c>
      <c r="I243" s="12" t="s">
        <v>21</v>
      </c>
      <c r="J243" s="12" t="s">
        <v>1615</v>
      </c>
      <c r="K243" s="12" t="s">
        <v>1616</v>
      </c>
      <c r="L243" s="7"/>
      <c r="M243" s="23" t="str">
        <f>HYPERLINK("https://www.worldrobotconference.com/expo/company/793.html","https://www.worldrobotconference.com/expo/company/793.html")</f>
        <v>https://www.worldrobotconference.com/expo/company/793.html</v>
      </c>
      <c r="N243" s="8"/>
    </row>
    <row r="244" spans="1:14" s="11" customFormat="1" ht="42" customHeight="1">
      <c r="A244" s="5" t="s">
        <v>1643</v>
      </c>
      <c r="B244" s="5" t="s">
        <v>1483</v>
      </c>
      <c r="C244" s="5" t="s">
        <v>1618</v>
      </c>
      <c r="D244" s="6"/>
      <c r="E244" s="7"/>
      <c r="F244" s="12" t="s">
        <v>1619</v>
      </c>
      <c r="G244" s="12" t="s">
        <v>1620</v>
      </c>
      <c r="H244" s="12" t="s">
        <v>1621</v>
      </c>
      <c r="I244" s="12" t="s">
        <v>21</v>
      </c>
      <c r="J244" s="12" t="s">
        <v>1622</v>
      </c>
      <c r="K244" s="12" t="s">
        <v>1623</v>
      </c>
      <c r="L244" s="7"/>
      <c r="M244" s="23" t="str">
        <f>HYPERLINK("https://www.worldrobotconference.com/expo/company/588.html","https://www.worldrobotconference.com/expo/company/588.html")</f>
        <v>https://www.worldrobotconference.com/expo/company/588.html</v>
      </c>
      <c r="N244" s="8"/>
    </row>
    <row r="245" spans="1:14" s="11" customFormat="1" ht="42" customHeight="1">
      <c r="A245" s="5" t="s">
        <v>1650</v>
      </c>
      <c r="B245" s="5" t="s">
        <v>1483</v>
      </c>
      <c r="C245" s="5" t="s">
        <v>1625</v>
      </c>
      <c r="D245" s="6"/>
      <c r="E245" s="7"/>
      <c r="F245" s="12" t="s">
        <v>1626</v>
      </c>
      <c r="G245" s="12" t="s">
        <v>1627</v>
      </c>
      <c r="H245" s="12" t="s">
        <v>1628</v>
      </c>
      <c r="I245" s="12" t="s">
        <v>21</v>
      </c>
      <c r="J245" s="12" t="s">
        <v>1629</v>
      </c>
      <c r="K245" s="12" t="s">
        <v>1630</v>
      </c>
      <c r="L245" s="7"/>
      <c r="M245" s="23" t="str">
        <f>HYPERLINK("https://www.worldrobotconference.com/expo/company/794.html","https://www.worldrobotconference.com/expo/company/794.html")</f>
        <v>https://www.worldrobotconference.com/expo/company/794.html</v>
      </c>
      <c r="N245" s="8"/>
    </row>
    <row r="246" spans="1:14" s="11" customFormat="1" ht="42" customHeight="1">
      <c r="A246" s="5" t="s">
        <v>1657</v>
      </c>
      <c r="B246" s="5" t="s">
        <v>1483</v>
      </c>
      <c r="C246" s="5" t="s">
        <v>1632</v>
      </c>
      <c r="D246" s="6"/>
      <c r="E246" s="7"/>
      <c r="F246" s="12" t="s">
        <v>1633</v>
      </c>
      <c r="G246" s="12" t="s">
        <v>1634</v>
      </c>
      <c r="H246" s="12" t="s">
        <v>1635</v>
      </c>
      <c r="I246" s="12" t="s">
        <v>21</v>
      </c>
      <c r="J246" s="12" t="s">
        <v>740</v>
      </c>
      <c r="K246" s="12" t="s">
        <v>741</v>
      </c>
      <c r="L246" s="7"/>
      <c r="M246" s="23" t="str">
        <f>HYPERLINK("https://www.worldrobotconference.com/expo/company/795.html","https://www.worldrobotconference.com/expo/company/795.html")</f>
        <v>https://www.worldrobotconference.com/expo/company/795.html</v>
      </c>
      <c r="N246" s="8"/>
    </row>
    <row r="247" spans="1:14" s="11" customFormat="1" ht="42" customHeight="1">
      <c r="A247" s="5" t="s">
        <v>1663</v>
      </c>
      <c r="B247" s="5" t="s">
        <v>1483</v>
      </c>
      <c r="C247" s="5" t="s">
        <v>1637</v>
      </c>
      <c r="D247" s="6"/>
      <c r="E247" s="7"/>
      <c r="F247" s="12" t="s">
        <v>1638</v>
      </c>
      <c r="G247" s="12" t="s">
        <v>1639</v>
      </c>
      <c r="H247" s="12" t="s">
        <v>1640</v>
      </c>
      <c r="I247" s="12" t="s">
        <v>21</v>
      </c>
      <c r="J247" s="12" t="s">
        <v>1641</v>
      </c>
      <c r="K247" s="12" t="s">
        <v>1642</v>
      </c>
      <c r="L247" s="7"/>
      <c r="M247" s="23" t="str">
        <f>HYPERLINK("https://www.worldrobotconference.com/expo/company/796.html","https://www.worldrobotconference.com/expo/company/796.html")</f>
        <v>https://www.worldrobotconference.com/expo/company/796.html</v>
      </c>
      <c r="N247" s="8"/>
    </row>
    <row r="248" spans="1:14" s="11" customFormat="1" ht="42" customHeight="1">
      <c r="A248" s="5" t="s">
        <v>1670</v>
      </c>
      <c r="B248" s="5" t="s">
        <v>1483</v>
      </c>
      <c r="C248" s="5" t="s">
        <v>1644</v>
      </c>
      <c r="D248" s="6"/>
      <c r="E248" s="7"/>
      <c r="F248" s="12" t="s">
        <v>1645</v>
      </c>
      <c r="G248" s="12" t="s">
        <v>1646</v>
      </c>
      <c r="H248" s="12" t="s">
        <v>1647</v>
      </c>
      <c r="I248" s="12" t="s">
        <v>21</v>
      </c>
      <c r="J248" s="12" t="s">
        <v>1648</v>
      </c>
      <c r="K248" s="12" t="s">
        <v>1649</v>
      </c>
      <c r="L248" s="7"/>
      <c r="M248" s="23" t="str">
        <f>HYPERLINK("https://www.worldrobotconference.com/expo/company/485.html","https://www.worldrobotconference.com/expo/company/485.html")</f>
        <v>https://www.worldrobotconference.com/expo/company/485.html</v>
      </c>
      <c r="N248" s="8"/>
    </row>
    <row r="249" spans="1:14" s="11" customFormat="1" ht="42" customHeight="1">
      <c r="A249" s="5" t="s">
        <v>1677</v>
      </c>
      <c r="B249" s="5" t="s">
        <v>53</v>
      </c>
      <c r="C249" s="5" t="s">
        <v>1651</v>
      </c>
      <c r="D249" s="6"/>
      <c r="E249" s="7"/>
      <c r="F249" s="12" t="s">
        <v>1652</v>
      </c>
      <c r="G249" s="12" t="s">
        <v>1653</v>
      </c>
      <c r="H249" s="12" t="s">
        <v>1654</v>
      </c>
      <c r="I249" s="12" t="s">
        <v>21</v>
      </c>
      <c r="J249" s="12" t="s">
        <v>1655</v>
      </c>
      <c r="K249" s="12" t="s">
        <v>1656</v>
      </c>
      <c r="L249" s="7"/>
      <c r="M249" s="23" t="str">
        <f>HYPERLINK("https://www.worldrobotconference.com/expo/","https://www.worldrobotconference.com/expo/")</f>
        <v>https://www.worldrobotconference.com/expo/</v>
      </c>
      <c r="N249" s="8"/>
    </row>
    <row r="250" spans="1:14" s="11" customFormat="1" ht="42" customHeight="1">
      <c r="A250" s="5" t="s">
        <v>1684</v>
      </c>
      <c r="B250" s="5" t="s">
        <v>53</v>
      </c>
      <c r="C250" s="5" t="s">
        <v>1658</v>
      </c>
      <c r="D250" s="6"/>
      <c r="E250" s="7"/>
      <c r="F250" s="12" t="s">
        <v>1659</v>
      </c>
      <c r="G250" s="12" t="s">
        <v>1660</v>
      </c>
      <c r="H250" s="12" t="s">
        <v>1661</v>
      </c>
      <c r="I250" s="12" t="s">
        <v>21</v>
      </c>
      <c r="J250" s="12" t="s">
        <v>1560</v>
      </c>
      <c r="K250" s="12" t="s">
        <v>1662</v>
      </c>
      <c r="L250" s="7"/>
      <c r="M250" s="23" t="str">
        <f>HYPERLINK("https://www.worldrobotconference.com/expo/company/798.html","https://www.worldrobotconference.com/expo/company/798.html")</f>
        <v>https://www.worldrobotconference.com/expo/company/798.html</v>
      </c>
      <c r="N250" s="8"/>
    </row>
    <row r="251" spans="1:14" s="11" customFormat="1" ht="42" customHeight="1">
      <c r="A251" s="5" t="s">
        <v>1689</v>
      </c>
      <c r="B251" s="5" t="s">
        <v>53</v>
      </c>
      <c r="C251" s="5" t="s">
        <v>1664</v>
      </c>
      <c r="D251" s="6"/>
      <c r="E251" s="7"/>
      <c r="F251" s="12" t="s">
        <v>1665</v>
      </c>
      <c r="G251" s="12" t="s">
        <v>1666</v>
      </c>
      <c r="H251" s="12" t="s">
        <v>1667</v>
      </c>
      <c r="I251" s="12" t="s">
        <v>21</v>
      </c>
      <c r="J251" s="12" t="s">
        <v>1668</v>
      </c>
      <c r="K251" s="12" t="s">
        <v>1669</v>
      </c>
      <c r="L251" s="7"/>
      <c r="M251" s="23" t="str">
        <f>HYPERLINK("https://www.worldrobotconference.com/expo/company/799.html","https://www.worldrobotconference.com/expo/company/799.html")</f>
        <v>https://www.worldrobotconference.com/expo/company/799.html</v>
      </c>
      <c r="N251" s="8"/>
    </row>
    <row r="252" spans="1:14" s="11" customFormat="1" ht="42" customHeight="1">
      <c r="A252" s="5" t="s">
        <v>1696</v>
      </c>
      <c r="B252" s="5" t="s">
        <v>53</v>
      </c>
      <c r="C252" s="5" t="s">
        <v>1671</v>
      </c>
      <c r="D252" s="6"/>
      <c r="E252" s="7"/>
      <c r="F252" s="12" t="s">
        <v>1672</v>
      </c>
      <c r="G252" s="12" t="s">
        <v>1673</v>
      </c>
      <c r="H252" s="12" t="s">
        <v>1674</v>
      </c>
      <c r="I252" s="12" t="s">
        <v>21</v>
      </c>
      <c r="J252" s="12" t="s">
        <v>1675</v>
      </c>
      <c r="K252" s="12" t="s">
        <v>1676</v>
      </c>
      <c r="L252" s="7"/>
      <c r="M252" s="23" t="str">
        <f>HYPERLINK("https://www.worldrobotconference.com/expo/company/800.html","https://www.worldrobotconference.com/expo/company/800.html")</f>
        <v>https://www.worldrobotconference.com/expo/company/800.html</v>
      </c>
      <c r="N252" s="8"/>
    </row>
    <row r="253" spans="1:14" s="11" customFormat="1" ht="42" customHeight="1">
      <c r="A253" s="5" t="s">
        <v>1703</v>
      </c>
      <c r="B253" s="5" t="s">
        <v>53</v>
      </c>
      <c r="C253" s="5" t="s">
        <v>1678</v>
      </c>
      <c r="D253" s="6"/>
      <c r="E253" s="7"/>
      <c r="F253" s="12" t="s">
        <v>1679</v>
      </c>
      <c r="G253" s="12" t="s">
        <v>1680</v>
      </c>
      <c r="H253" s="12" t="s">
        <v>1681</v>
      </c>
      <c r="I253" s="12" t="s">
        <v>21</v>
      </c>
      <c r="J253" s="12" t="s">
        <v>1682</v>
      </c>
      <c r="K253" s="12" t="s">
        <v>1683</v>
      </c>
      <c r="L253" s="7"/>
      <c r="M253" s="23" t="str">
        <f>HYPERLINK("https://www.worldrobotconference.com/expo/company/801.html","https://www.worldrobotconference.com/expo/company/801.html")</f>
        <v>https://www.worldrobotconference.com/expo/company/801.html</v>
      </c>
      <c r="N253" s="8"/>
    </row>
    <row r="254" spans="1:14" s="11" customFormat="1" ht="42" customHeight="1">
      <c r="A254" s="5" t="s">
        <v>1710</v>
      </c>
      <c r="B254" s="5" t="s">
        <v>53</v>
      </c>
      <c r="C254" s="5" t="s">
        <v>1685</v>
      </c>
      <c r="D254" s="6"/>
      <c r="E254" s="7"/>
      <c r="F254" s="12" t="s">
        <v>1686</v>
      </c>
      <c r="G254" s="12" t="s">
        <v>1687</v>
      </c>
      <c r="H254" s="12" t="s">
        <v>1688</v>
      </c>
      <c r="I254" s="12" t="s">
        <v>21</v>
      </c>
      <c r="J254" s="12" t="s">
        <v>740</v>
      </c>
      <c r="K254" s="12" t="s">
        <v>741</v>
      </c>
      <c r="L254" s="7"/>
      <c r="M254" s="23" t="str">
        <f>HYPERLINK("https://www.worldrobotconference.com/expo/company/811.html","https://www.worldrobotconference.com/expo/company/811.html")</f>
        <v>https://www.worldrobotconference.com/expo/company/811.html</v>
      </c>
      <c r="N254" s="8"/>
    </row>
    <row r="255" spans="1:14" s="11" customFormat="1" ht="42" customHeight="1">
      <c r="A255" s="5" t="s">
        <v>236</v>
      </c>
      <c r="B255" s="5" t="s">
        <v>53</v>
      </c>
      <c r="C255" s="5" t="s">
        <v>1690</v>
      </c>
      <c r="D255" s="6"/>
      <c r="E255" s="7"/>
      <c r="F255" s="12" t="s">
        <v>1691</v>
      </c>
      <c r="G255" s="12" t="s">
        <v>1692</v>
      </c>
      <c r="H255" s="12" t="s">
        <v>1693</v>
      </c>
      <c r="I255" s="12" t="s">
        <v>21</v>
      </c>
      <c r="J255" s="12" t="s">
        <v>1694</v>
      </c>
      <c r="K255" s="12" t="s">
        <v>1695</v>
      </c>
      <c r="L255" s="7"/>
      <c r="M255" s="23" t="str">
        <f>HYPERLINK("https://www.worldrobotconference.com/expo/company/837.html","https://www.worldrobotconference.com/expo/company/837.html")</f>
        <v>https://www.worldrobotconference.com/expo/company/837.html</v>
      </c>
      <c r="N255" s="8"/>
    </row>
    <row r="256" spans="1:14" s="11" customFormat="1" ht="42" customHeight="1">
      <c r="A256" s="5" t="s">
        <v>1722</v>
      </c>
      <c r="B256" s="5" t="s">
        <v>53</v>
      </c>
      <c r="C256" s="5" t="s">
        <v>1697</v>
      </c>
      <c r="D256" s="6"/>
      <c r="E256" s="7"/>
      <c r="F256" s="12" t="s">
        <v>1698</v>
      </c>
      <c r="G256" s="12" t="s">
        <v>1699</v>
      </c>
      <c r="H256" s="12" t="s">
        <v>1700</v>
      </c>
      <c r="I256" s="12" t="s">
        <v>21</v>
      </c>
      <c r="J256" s="12" t="s">
        <v>1701</v>
      </c>
      <c r="K256" s="12" t="s">
        <v>1702</v>
      </c>
      <c r="L256" s="7"/>
      <c r="M256" s="23" t="str">
        <f>HYPERLINK("https://www.worldrobotconference.com/expo/company/803.html","https://www.worldrobotconference.com/expo/company/803.html")</f>
        <v>https://www.worldrobotconference.com/expo/company/803.html</v>
      </c>
      <c r="N256" s="8"/>
    </row>
    <row r="257" spans="1:14" s="11" customFormat="1" ht="42" customHeight="1">
      <c r="A257" s="5" t="s">
        <v>1728</v>
      </c>
      <c r="B257" s="5" t="s">
        <v>53</v>
      </c>
      <c r="C257" s="5" t="s">
        <v>1704</v>
      </c>
      <c r="D257" s="6"/>
      <c r="E257" s="7"/>
      <c r="F257" s="12" t="s">
        <v>1705</v>
      </c>
      <c r="G257" s="12" t="s">
        <v>1706</v>
      </c>
      <c r="H257" s="12" t="s">
        <v>1707</v>
      </c>
      <c r="I257" s="12" t="s">
        <v>21</v>
      </c>
      <c r="J257" s="12" t="s">
        <v>1708</v>
      </c>
      <c r="K257" s="12" t="s">
        <v>1709</v>
      </c>
      <c r="L257" s="7"/>
      <c r="M257" s="23" t="str">
        <f>HYPERLINK("https://www.worldrobotconference.com/expo/company/840.html","https://www.worldrobotconference.com/expo/company/840.html")</f>
        <v>https://www.worldrobotconference.com/expo/company/840.html</v>
      </c>
      <c r="N257" s="8"/>
    </row>
    <row r="258" spans="1:14" s="11" customFormat="1" ht="42" customHeight="1">
      <c r="A258" s="5" t="s">
        <v>52</v>
      </c>
      <c r="B258" s="5" t="s">
        <v>53</v>
      </c>
      <c r="C258" s="5" t="s">
        <v>1711</v>
      </c>
      <c r="D258" s="6"/>
      <c r="E258" s="7"/>
      <c r="F258" s="12" t="s">
        <v>1712</v>
      </c>
      <c r="G258" s="12" t="s">
        <v>1713</v>
      </c>
      <c r="H258" s="12" t="s">
        <v>1714</v>
      </c>
      <c r="I258" s="12" t="s">
        <v>21</v>
      </c>
      <c r="J258" s="12" t="s">
        <v>759</v>
      </c>
      <c r="K258" s="12" t="s">
        <v>1715</v>
      </c>
      <c r="L258" s="7"/>
      <c r="M258" s="23" t="str">
        <f>HYPERLINK("https://www.worldrobotconference.com/expo/company/838.html","https://www.worldrobotconference.com/expo/company/838.html")</f>
        <v>https://www.worldrobotconference.com/expo/company/838.html</v>
      </c>
      <c r="N258" s="8"/>
    </row>
    <row r="259" spans="1:14" s="11" customFormat="1" ht="42" customHeight="1">
      <c r="A259" s="5" t="s">
        <v>1745</v>
      </c>
      <c r="B259" s="5" t="s">
        <v>53</v>
      </c>
      <c r="C259" s="5" t="s">
        <v>1716</v>
      </c>
      <c r="D259" s="6"/>
      <c r="E259" s="7"/>
      <c r="F259" s="12" t="s">
        <v>1717</v>
      </c>
      <c r="G259" s="12" t="s">
        <v>1718</v>
      </c>
      <c r="H259" s="12" t="s">
        <v>1719</v>
      </c>
      <c r="I259" s="12" t="s">
        <v>21</v>
      </c>
      <c r="J259" s="12" t="s">
        <v>1720</v>
      </c>
      <c r="K259" s="12" t="s">
        <v>1721</v>
      </c>
      <c r="L259" s="7"/>
      <c r="M259" s="23" t="str">
        <f>HYPERLINK("https://www.worldrobotconference.com/expo/company/577.html","https://www.worldrobotconference.com/expo/company/577.html")</f>
        <v>https://www.worldrobotconference.com/expo/company/577.html</v>
      </c>
      <c r="N259" s="8"/>
    </row>
    <row r="260" spans="1:14" s="11" customFormat="1" ht="42" customHeight="1">
      <c r="A260" s="5" t="s">
        <v>1752</v>
      </c>
      <c r="B260" s="5" t="s">
        <v>53</v>
      </c>
      <c r="C260" s="5" t="s">
        <v>1723</v>
      </c>
      <c r="D260" s="6"/>
      <c r="E260" s="7"/>
      <c r="F260" s="12" t="s">
        <v>84</v>
      </c>
      <c r="G260" s="12" t="s">
        <v>1724</v>
      </c>
      <c r="H260" s="12" t="s">
        <v>1725</v>
      </c>
      <c r="I260" s="12" t="s">
        <v>21</v>
      </c>
      <c r="J260" s="12" t="s">
        <v>1726</v>
      </c>
      <c r="K260" s="12" t="s">
        <v>1727</v>
      </c>
      <c r="L260" s="7"/>
      <c r="M260" s="23" t="str">
        <f>HYPERLINK("https://www.worldrobotconference.com/expo/company/839.html","https://www.worldrobotconference.com/expo/company/839.html")</f>
        <v>https://www.worldrobotconference.com/expo/company/839.html</v>
      </c>
      <c r="N260" s="8"/>
    </row>
    <row r="261" spans="1:14" s="11" customFormat="1" ht="42" customHeight="1">
      <c r="A261" s="5" t="s">
        <v>1781</v>
      </c>
      <c r="B261" s="5" t="s">
        <v>53</v>
      </c>
      <c r="C261" s="5" t="s">
        <v>60</v>
      </c>
      <c r="D261" s="6"/>
      <c r="E261" s="7"/>
      <c r="F261" s="12" t="s">
        <v>61</v>
      </c>
      <c r="G261" s="12" t="s">
        <v>62</v>
      </c>
      <c r="H261" s="12" t="s">
        <v>63</v>
      </c>
      <c r="I261" s="12" t="s">
        <v>21</v>
      </c>
      <c r="J261" s="12" t="s">
        <v>64</v>
      </c>
      <c r="K261" s="12" t="s">
        <v>65</v>
      </c>
      <c r="L261" s="7" t="s">
        <v>30</v>
      </c>
      <c r="M261" s="23"/>
      <c r="N261" s="8"/>
    </row>
    <row r="262" spans="1:14" s="11" customFormat="1" ht="27">
      <c r="A262" s="5" t="s">
        <v>59</v>
      </c>
      <c r="B262" s="5" t="s">
        <v>53</v>
      </c>
      <c r="C262" s="5" t="s">
        <v>1729</v>
      </c>
      <c r="D262" s="6"/>
      <c r="E262" s="7"/>
      <c r="F262" s="12" t="s">
        <v>1730</v>
      </c>
      <c r="G262" s="12" t="s">
        <v>1731</v>
      </c>
      <c r="H262" s="12" t="s">
        <v>1732</v>
      </c>
      <c r="I262" s="12" t="s">
        <v>21</v>
      </c>
      <c r="J262" s="12" t="s">
        <v>148</v>
      </c>
      <c r="K262" s="12" t="s">
        <v>1733</v>
      </c>
      <c r="L262" s="7"/>
      <c r="M262" s="23" t="str">
        <f>HYPERLINK("https://www.worldrobotconference.com/expo/company/806.html","https://www.worldrobotconference.com/expo/company/806.html")</f>
        <v>https://www.worldrobotconference.com/expo/company/806.html</v>
      </c>
      <c r="N262" s="8"/>
    </row>
    <row r="263" spans="1:14" s="11" customFormat="1" ht="27">
      <c r="A263" s="5" t="s">
        <v>1777</v>
      </c>
      <c r="B263" s="5" t="s">
        <v>53</v>
      </c>
      <c r="C263" s="5" t="s">
        <v>1734</v>
      </c>
      <c r="D263" s="6"/>
      <c r="E263" s="7"/>
      <c r="F263" s="12" t="s">
        <v>1735</v>
      </c>
      <c r="G263" s="12" t="s">
        <v>1736</v>
      </c>
      <c r="H263" s="12" t="s">
        <v>1737</v>
      </c>
      <c r="I263" s="12" t="s">
        <v>21</v>
      </c>
      <c r="J263" s="12" t="s">
        <v>759</v>
      </c>
      <c r="K263" s="12" t="s">
        <v>1738</v>
      </c>
      <c r="L263" s="7"/>
      <c r="M263" s="23" t="str">
        <f>HYPERLINK("https://www.worldrobotconference.com/expo/company/550.html","https://www.worldrobotconference.com/expo/company/550.html")</f>
        <v>https://www.worldrobotconference.com/expo/company/550.html</v>
      </c>
      <c r="N263" s="8"/>
    </row>
    <row r="264" spans="1:14" s="11" customFormat="1" ht="27">
      <c r="A264" s="5" t="s">
        <v>1778</v>
      </c>
      <c r="B264" s="5" t="s">
        <v>53</v>
      </c>
      <c r="C264" s="5" t="s">
        <v>1740</v>
      </c>
      <c r="D264" s="6"/>
      <c r="E264" s="7"/>
      <c r="F264" s="12" t="s">
        <v>1741</v>
      </c>
      <c r="G264" s="12" t="s">
        <v>1742</v>
      </c>
      <c r="H264" s="12" t="s">
        <v>1743</v>
      </c>
      <c r="I264" s="12" t="s">
        <v>21</v>
      </c>
      <c r="J264" s="12" t="s">
        <v>1061</v>
      </c>
      <c r="K264" s="12" t="s">
        <v>1744</v>
      </c>
      <c r="L264" s="7"/>
      <c r="M264" s="23" t="str">
        <f>HYPERLINK("https://www.worldrobotconference.com/expo/company/807.html","https://www.worldrobotconference.com/expo/company/807.html")</f>
        <v>https://www.worldrobotconference.com/expo/company/807.html</v>
      </c>
      <c r="N264" s="8"/>
    </row>
    <row r="265" spans="1:14" s="11" customFormat="1" ht="27">
      <c r="A265" s="5" t="s">
        <v>1779</v>
      </c>
      <c r="B265" s="5" t="s">
        <v>53</v>
      </c>
      <c r="C265" s="5" t="s">
        <v>1746</v>
      </c>
      <c r="D265" s="6"/>
      <c r="E265" s="7"/>
      <c r="F265" s="12" t="s">
        <v>1747</v>
      </c>
      <c r="G265" s="12" t="s">
        <v>1748</v>
      </c>
      <c r="H265" s="12" t="s">
        <v>1749</v>
      </c>
      <c r="I265" s="12" t="s">
        <v>21</v>
      </c>
      <c r="J265" s="12" t="s">
        <v>1750</v>
      </c>
      <c r="K265" s="12" t="s">
        <v>1751</v>
      </c>
      <c r="L265" s="7"/>
      <c r="M265" s="23" t="str">
        <f>HYPERLINK("https://www.worldrobotconference.com/expo/company/526.html","https://www.worldrobotconference.com/expo/company/526.html")</f>
        <v>https://www.worldrobotconference.com/expo/company/526.html</v>
      </c>
      <c r="N265" s="8"/>
    </row>
    <row r="266" spans="1:14" s="11" customFormat="1" ht="27">
      <c r="A266" s="5" t="s">
        <v>1780</v>
      </c>
      <c r="B266" s="5" t="s">
        <v>53</v>
      </c>
      <c r="C266" s="5" t="s">
        <v>1753</v>
      </c>
      <c r="D266" s="6"/>
      <c r="E266" s="9"/>
      <c r="F266" s="12" t="s">
        <v>1754</v>
      </c>
      <c r="G266" s="12" t="s">
        <v>1755</v>
      </c>
      <c r="H266" s="12" t="s">
        <v>1756</v>
      </c>
      <c r="I266" s="12" t="s">
        <v>21</v>
      </c>
      <c r="J266" s="12" t="s">
        <v>1061</v>
      </c>
      <c r="K266" s="12" t="s">
        <v>1757</v>
      </c>
      <c r="L266" s="9"/>
      <c r="M266" s="23" t="str">
        <f>HYPERLINK("https://www.worldrobotconference.com/expo/company/808.html","https://www.worldrobotconference.com/expo/company/808.html")</f>
        <v>https://www.worldrobotconference.com/expo/company/808.html</v>
      </c>
      <c r="N266" s="10"/>
    </row>
  </sheetData>
  <phoneticPr fontId="3" type="noConversion"/>
  <dataValidations count="3">
    <dataValidation type="list" sqref="M3:M266">
      <formula1>"미정,필수,높음,보통,낮음"</formula1>
    </dataValidation>
    <dataValidation type="list" sqref="E3:E266">
      <formula1>"8/20(목),8/21(금)"</formula1>
    </dataValidation>
    <dataValidation type="list" allowBlank="1" showInputMessage="1" showErrorMessage="1" sqref="D3:D266">
      <formula1>"★★★,★★,★,☆"</formula1>
    </dataValidation>
  </dataValidations>
  <hyperlinks>
    <hyperlink ref="N1" r:id="rId1" display="https://www.worldrobotconference.com/expo/"/>
    <hyperlink ref="M26" r:id="rId2" display="https://www.worldrobotconference.com/expo/company/468.html"/>
    <hyperlink ref="M4" r:id="rId3" display="https://www.worldrobotconference.com/expo/company/629.html"/>
    <hyperlink ref="M6" r:id="rId4" display="https://www.worldrobotconference.com/expo/product/1114.html"/>
    <hyperlink ref="M8" r:id="rId5" display="https://www.worldrobotconference.com/expo/company/633.html"/>
    <hyperlink ref="M13" r:id="rId6" display="https://www.worldrobotconference.com/expo/company/888.html"/>
    <hyperlink ref="M22" r:id="rId7" display="https://www.worldrobotconference.com/expo/company/855.html"/>
    <hyperlink ref="M9" r:id="rId8" display="https://www.worldrobotconference.com/expo/company/635.html"/>
    <hyperlink ref="M7" r:id="rId9" display="https://www.worldrobotconference.com/expo/company/632.html"/>
    <hyperlink ref="M12" r:id="rId10" display="https://www.worldrobotconference.com/expo/company/644.html"/>
    <hyperlink ref="M37" r:id="rId11" display="https://www.worldrobotconference.com/expo/company/401.html"/>
    <hyperlink ref="M17" r:id="rId12" display="https://www.worldrobotconference.com/expo/company/671.html"/>
    <hyperlink ref="M167" r:id="rId13" display="https://www.worldrobotconference.com/expo/company/703.html"/>
    <hyperlink ref="M190" r:id="rId14" display="https://www.worldrobotconference.com/expo/company/861.html"/>
    <hyperlink ref="M20" r:id="rId15" display="https://www.worldrobotconference.com/expo/company/871.html"/>
  </hyperlinks>
  <pageMargins left="0.7" right="0.7" top="0.75" bottom="0.75" header="0.3" footer="0.3"/>
  <pageSetup paperSize="9" orientation="portrait" r:id="rId16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2026-08-18T07:14:55Z</dcterms:modified>
</cp:coreProperties>
</file>